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codeName="ThisWorkbook"/>
  <mc:AlternateContent xmlns:mc="http://schemas.openxmlformats.org/markup-compatibility/2006">
    <mc:Choice Requires="x15">
      <x15ac:absPath xmlns:x15ac="http://schemas.microsoft.com/office/spreadsheetml/2010/11/ac" url="C:\Users\vzaldo\Code\Risk_IA\"/>
    </mc:Choice>
  </mc:AlternateContent>
  <xr:revisionPtr revIDLastSave="0" documentId="13_ncr:1_{4D2CF23B-9DA6-4D55-A51F-BAE8D99F8C79}" xr6:coauthVersionLast="47" xr6:coauthVersionMax="47" xr10:uidLastSave="{00000000-0000-0000-0000-000000000000}"/>
  <bookViews>
    <workbookView xWindow="-120" yWindow="-120" windowWidth="29040" windowHeight="15840" tabRatio="737" firstSheet="1" activeTab="1" xr2:uid="{00000000-000D-0000-FFFF-FFFF00000000}"/>
  </bookViews>
  <sheets>
    <sheet name="Control de versiones" sheetId="7" r:id="rId1"/>
    <sheet name="Leyenda" sheetId="5" r:id="rId2"/>
    <sheet name="Listas" sheetId="16" r:id="rId3"/>
    <sheet name="Evaluación de riesgos" sheetId="18" r:id="rId4"/>
    <sheet name="Evaluación de riesgos totales" sheetId="19" r:id="rId5"/>
    <sheet name="Graficas" sheetId="21" r:id="rId6"/>
    <sheet name="Requerimientos" sheetId="20" r:id="rId7"/>
  </sheets>
  <definedNames>
    <definedName name="_xlnm._FilterDatabase" localSheetId="3" hidden="1">'Evaluación de riesgos'!$G$1:$G$102</definedName>
    <definedName name="_xlnm._FilterDatabase" localSheetId="6" hidden="1">Requerimientos!$A$1:$I$1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1" i="18" l="1"/>
  <c r="Z101" i="18" s="1"/>
  <c r="F100" i="18"/>
  <c r="K100" i="18" s="1"/>
  <c r="F102" i="18"/>
  <c r="AA102" i="18" s="1"/>
  <c r="E11" i="19" s="1"/>
  <c r="F99" i="18"/>
  <c r="U99" i="18" s="1"/>
  <c r="F98" i="18"/>
  <c r="Z98" i="18" s="1"/>
  <c r="F97" i="18"/>
  <c r="Z97" i="18" s="1"/>
  <c r="F96" i="18"/>
  <c r="AK96" i="18" s="1"/>
  <c r="E13" i="19" s="1"/>
  <c r="F88" i="18"/>
  <c r="AF88" i="18" s="1"/>
  <c r="F81" i="18"/>
  <c r="AF81" i="18" s="1"/>
  <c r="F78" i="18"/>
  <c r="V78" i="18" s="1"/>
  <c r="F69" i="18"/>
  <c r="Q69" i="18" s="1"/>
  <c r="E9" i="19" s="1"/>
  <c r="F49" i="18"/>
  <c r="L49" i="18" s="1"/>
  <c r="F38" i="18"/>
  <c r="F50" i="18"/>
  <c r="P50" i="18" s="1"/>
  <c r="F30" i="18"/>
  <c r="F36" i="18"/>
  <c r="K36" i="18" s="1"/>
  <c r="F34" i="18"/>
  <c r="F33" i="18"/>
  <c r="F32" i="18"/>
  <c r="F31" i="18"/>
  <c r="F28" i="18"/>
  <c r="F26" i="18"/>
  <c r="F25" i="18"/>
  <c r="F23" i="18"/>
  <c r="F22" i="18"/>
  <c r="F19" i="18"/>
  <c r="F18" i="18"/>
  <c r="F21" i="18"/>
  <c r="F20" i="18"/>
  <c r="F24" i="18"/>
  <c r="F27" i="18"/>
  <c r="F29" i="18"/>
  <c r="F95" i="18"/>
  <c r="AJ95" i="18" s="1"/>
  <c r="F94" i="18"/>
  <c r="AJ94" i="18" s="1"/>
  <c r="F87" i="18"/>
  <c r="AE87" i="18" s="1"/>
  <c r="F86" i="18"/>
  <c r="AD86" i="18" s="1"/>
  <c r="F85" i="18"/>
  <c r="AE85" i="18" s="1"/>
  <c r="F84" i="18"/>
  <c r="AD84" i="18" s="1"/>
  <c r="F82" i="18"/>
  <c r="AE82" i="18" s="1"/>
  <c r="F80" i="18"/>
  <c r="U80" i="18" s="1"/>
  <c r="F79" i="18"/>
  <c r="AE79" i="18" s="1"/>
  <c r="F77" i="18"/>
  <c r="AJ77" i="18" s="1"/>
  <c r="F76" i="18"/>
  <c r="AE76" i="18" s="1"/>
  <c r="F75" i="18"/>
  <c r="U75" i="18" s="1"/>
  <c r="F74" i="18"/>
  <c r="AE74" i="18" s="1"/>
  <c r="F73" i="18"/>
  <c r="AE73" i="18" s="1"/>
  <c r="F72" i="18"/>
  <c r="AD72" i="18" s="1"/>
  <c r="F71" i="18"/>
  <c r="AE71" i="18" s="1"/>
  <c r="F70" i="18"/>
  <c r="AJ70" i="18" s="1"/>
  <c r="F44" i="18"/>
  <c r="U44" i="18" s="1"/>
  <c r="F62" i="18"/>
  <c r="P62" i="18" s="1"/>
  <c r="F61" i="18"/>
  <c r="AD61" i="18" s="1"/>
  <c r="AJ50" i="18"/>
  <c r="AH17" i="18"/>
  <c r="AG17" i="18"/>
  <c r="AH16" i="18"/>
  <c r="AG16" i="18"/>
  <c r="AH15" i="18"/>
  <c r="AG15" i="18"/>
  <c r="AG14" i="18"/>
  <c r="AG13" i="18"/>
  <c r="AH12" i="18"/>
  <c r="F43" i="18"/>
  <c r="P43" i="18" s="1"/>
  <c r="F42" i="18"/>
  <c r="AJ42" i="18" s="1"/>
  <c r="P101" i="18" l="1"/>
  <c r="Z100" i="18"/>
  <c r="P98" i="18"/>
  <c r="Z99" i="18"/>
  <c r="V88" i="18"/>
  <c r="V81" i="18"/>
  <c r="L78" i="18"/>
  <c r="E8" i="19" s="1"/>
  <c r="V69" i="18"/>
  <c r="AF49" i="18"/>
  <c r="E12" i="19" s="1"/>
  <c r="U94" i="18"/>
  <c r="P75" i="18"/>
  <c r="AE75" i="18"/>
  <c r="AE80" i="18"/>
  <c r="K85" i="18"/>
  <c r="K76" i="18"/>
  <c r="K82" i="18"/>
  <c r="K75" i="18"/>
  <c r="P82" i="18"/>
  <c r="K87" i="18"/>
  <c r="U82" i="18"/>
  <c r="U87" i="18"/>
  <c r="K77" i="18"/>
  <c r="AE77" i="18"/>
  <c r="U79" i="18"/>
  <c r="J86" i="18"/>
  <c r="Z79" i="18"/>
  <c r="AE70" i="18"/>
  <c r="J84" i="18"/>
  <c r="J72" i="18"/>
  <c r="AE43" i="18"/>
  <c r="U73" i="18"/>
  <c r="K71" i="18"/>
  <c r="AJ36" i="18"/>
  <c r="AJ43" i="18"/>
  <c r="J61" i="18"/>
  <c r="O61" i="18"/>
  <c r="P36" i="18"/>
  <c r="F12" i="18"/>
  <c r="F11" i="18"/>
  <c r="F10" i="18"/>
  <c r="F7" i="18"/>
  <c r="F40" i="18"/>
  <c r="AI40" i="18" s="1"/>
  <c r="C13" i="19" s="1"/>
  <c r="F48" i="18"/>
  <c r="P48" i="18" s="1"/>
  <c r="F51" i="18"/>
  <c r="P51" i="18" s="1"/>
  <c r="F52" i="18"/>
  <c r="F53" i="18"/>
  <c r="F54" i="18"/>
  <c r="P54" i="18" s="1"/>
  <c r="F55" i="18"/>
  <c r="Z55" i="18" s="1"/>
  <c r="F56" i="18"/>
  <c r="P56" i="18" s="1"/>
  <c r="F57" i="18"/>
  <c r="F58" i="18"/>
  <c r="P58" i="18" s="1"/>
  <c r="F59" i="18"/>
  <c r="F60" i="18"/>
  <c r="F63" i="18"/>
  <c r="F64" i="18"/>
  <c r="F65" i="18"/>
  <c r="F66" i="18"/>
  <c r="Z66" i="18" s="1"/>
  <c r="F67" i="18"/>
  <c r="Z67" i="18" s="1"/>
  <c r="F68" i="18"/>
  <c r="Z68" i="18" s="1"/>
  <c r="T74" i="18"/>
  <c r="C10" i="19" s="1"/>
  <c r="F83" i="18"/>
  <c r="F89" i="18"/>
  <c r="AJ89" i="18" s="1"/>
  <c r="F90" i="18"/>
  <c r="F91" i="18"/>
  <c r="F92" i="18"/>
  <c r="F93" i="18"/>
  <c r="AJ93" i="18" s="1"/>
  <c r="F47" i="18"/>
  <c r="Z47" i="18" s="1"/>
  <c r="F46" i="18"/>
  <c r="Z46" i="18" s="1"/>
  <c r="F45" i="18"/>
  <c r="F41" i="18"/>
  <c r="F39" i="18"/>
  <c r="AJ39" i="18" s="1"/>
  <c r="D17" i="5"/>
  <c r="H29" i="18"/>
  <c r="F37" i="18"/>
  <c r="H18" i="5"/>
  <c r="H19" i="5"/>
  <c r="H20" i="5"/>
  <c r="H21" i="5"/>
  <c r="G18" i="5"/>
  <c r="G19" i="5"/>
  <c r="G20" i="5"/>
  <c r="G21" i="5"/>
  <c r="F18" i="5"/>
  <c r="F19" i="5"/>
  <c r="F20" i="5"/>
  <c r="F21" i="5"/>
  <c r="F17" i="5"/>
  <c r="G17" i="5"/>
  <c r="H17" i="5"/>
  <c r="E18" i="5"/>
  <c r="E19" i="5"/>
  <c r="E20" i="5"/>
  <c r="E21" i="5"/>
  <c r="E17" i="5"/>
  <c r="D18" i="5"/>
  <c r="D19" i="5"/>
  <c r="D20" i="5"/>
  <c r="D21" i="5"/>
  <c r="H16" i="18"/>
  <c r="X29" i="18"/>
  <c r="AC12" i="18"/>
  <c r="N12" i="18"/>
  <c r="I12" i="18"/>
  <c r="E10" i="19" l="1"/>
  <c r="K95" i="18"/>
  <c r="AJ92" i="18"/>
  <c r="U92" i="18"/>
  <c r="K90" i="18"/>
  <c r="AJ90" i="18"/>
  <c r="U90" i="18"/>
  <c r="U91" i="18"/>
  <c r="AJ91" i="18"/>
  <c r="Z91" i="18"/>
  <c r="AE83" i="18"/>
  <c r="K83" i="18"/>
  <c r="P60" i="18"/>
  <c r="AE60" i="18"/>
  <c r="Z60" i="18"/>
  <c r="K52" i="18"/>
  <c r="AE52" i="18"/>
  <c r="U52" i="18"/>
  <c r="P52" i="18"/>
  <c r="Z53" i="18"/>
  <c r="P53" i="18"/>
  <c r="K53" i="18"/>
  <c r="U41" i="18"/>
  <c r="AJ41" i="18"/>
  <c r="K59" i="18"/>
  <c r="P59" i="18"/>
  <c r="AE45" i="18"/>
  <c r="AJ45" i="18"/>
  <c r="K57" i="18"/>
  <c r="P57" i="18"/>
  <c r="P66" i="18"/>
  <c r="U66" i="18"/>
  <c r="AJ65" i="18"/>
  <c r="Z65" i="18"/>
  <c r="AE65" i="18"/>
  <c r="P55" i="18"/>
  <c r="U55" i="18"/>
  <c r="Z63" i="18"/>
  <c r="P63" i="18"/>
  <c r="P64" i="18"/>
  <c r="AJ64" i="18"/>
  <c r="AJ48" i="18"/>
  <c r="AE47" i="18"/>
  <c r="P46" i="18"/>
  <c r="K41" i="18"/>
  <c r="AE41" i="18"/>
  <c r="J40" i="18"/>
  <c r="AD40" i="18"/>
  <c r="O40" i="18"/>
  <c r="C9" i="19" s="1"/>
  <c r="AE42" i="18"/>
  <c r="K42" i="18"/>
  <c r="AE39" i="18"/>
  <c r="K39" i="18"/>
  <c r="K37" i="18"/>
  <c r="P37" i="18"/>
  <c r="AD38" i="18"/>
  <c r="C12" i="19" s="1"/>
  <c r="J38" i="18"/>
  <c r="AB16" i="18"/>
  <c r="AB17" i="18"/>
  <c r="AC17" i="18"/>
  <c r="AC16" i="18"/>
  <c r="R17" i="18"/>
  <c r="R16" i="18"/>
  <c r="M16" i="18"/>
  <c r="M17" i="18"/>
  <c r="H17" i="18"/>
  <c r="AC15" i="18"/>
  <c r="AB15" i="18"/>
  <c r="I15" i="18"/>
  <c r="H15" i="18"/>
  <c r="AB14" i="18"/>
  <c r="W14" i="18"/>
  <c r="R14" i="18"/>
  <c r="M14" i="18"/>
  <c r="H14" i="18"/>
  <c r="AB13" i="18"/>
  <c r="R13" i="18"/>
  <c r="H13" i="18"/>
  <c r="C8" i="19" l="1"/>
  <c r="D13" i="19"/>
  <c r="D12" i="19"/>
  <c r="D9" i="19"/>
  <c r="D11" i="19"/>
  <c r="D10" i="19"/>
  <c r="C11" i="19"/>
  <c r="D8" i="19"/>
  <c r="C9" i="7"/>
  <c r="C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tc={3DF40DE4-FE94-4AD0-900F-556AE9C8EA6A}</author>
    <author>tc={F65658B9-DD29-43A3-97F9-872BB297CF1D}</author>
    <author>tc={59E9A81A-5951-43EA-B48C-F9050D6F16F0}</author>
  </authors>
  <commentList>
    <comment ref="D47" authorId="0" shapeId="0" xr:uid="{3DF40DE4-FE94-4AD0-900F-556AE9C8EA6A}">
      <text>
        <t>[Threaded comment]
Your version of Excel allows you to read this threaded comment; however, any edits to it will get removed if the file is opened in a newer version of Excel. Learn more: https://go.microsoft.com/fwlink/?linkid=870924
Comment:
    Revisar - informativo, aplica en este ámbito ¿?</t>
      </text>
    </comment>
    <comment ref="D67" authorId="1" shapeId="0" xr:uid="{F65658B9-DD29-43A3-97F9-872BB297CF1D}">
      <text>
        <t>[Threaded comment]
Your version of Excel allows you to read this threaded comment; however, any edits to it will get removed if the file is opened in a newer version of Excel. Learn more: https://go.microsoft.com/fwlink/?linkid=870924
Comment:
    Para el usuario ¿?</t>
      </text>
    </comment>
    <comment ref="D77" authorId="2" shapeId="0" xr:uid="{59E9A81A-5951-43EA-B48C-F9050D6F16F0}">
      <text>
        <t>[Threaded comment]
Your version of Excel allows you to read this threaded comment; however, any edits to it will get removed if the file is opened in a newer version of Excel. Learn more: https://go.microsoft.com/fwlink/?linkid=870924
Comment:
    Separar esta pregunta en dos ¿?</t>
      </text>
    </comment>
  </commentList>
</comments>
</file>

<file path=xl/sharedStrings.xml><?xml version="1.0" encoding="utf-8"?>
<sst xmlns="http://schemas.openxmlformats.org/spreadsheetml/2006/main" count="1538" uniqueCount="627">
  <si>
    <t>Nombre Sistema IA</t>
  </si>
  <si>
    <t>Propósito</t>
  </si>
  <si>
    <t>Responsable</t>
  </si>
  <si>
    <t>Nombre del documento:</t>
  </si>
  <si>
    <t>Número de hojas</t>
  </si>
  <si>
    <t>Descripción del documento:</t>
  </si>
  <si>
    <t>Evaluación de riesgos para sistemas de IA y marco de control</t>
  </si>
  <si>
    <t>Control de cambios:</t>
  </si>
  <si>
    <t>Versión</t>
  </si>
  <si>
    <t>Descripción</t>
  </si>
  <si>
    <t>Autor</t>
  </si>
  <si>
    <t>Fecha creación</t>
  </si>
  <si>
    <t>Aprobado por</t>
  </si>
  <si>
    <t>Fecha aprobación</t>
  </si>
  <si>
    <t>1.0</t>
  </si>
  <si>
    <t>Primera versión del documento</t>
  </si>
  <si>
    <t>KPMG</t>
  </si>
  <si>
    <t>2.0</t>
  </si>
  <si>
    <t>Desarrollo v1 del modelo de riesgo</t>
  </si>
  <si>
    <t>3.0</t>
  </si>
  <si>
    <t>Incluisón de un caso de uso</t>
  </si>
  <si>
    <t>Niveles de Riesgo</t>
  </si>
  <si>
    <t>Nivel</t>
  </si>
  <si>
    <t>Definición</t>
  </si>
  <si>
    <t>Métricas</t>
  </si>
  <si>
    <t>Evaluación Escala</t>
  </si>
  <si>
    <t>N1 - Bajo</t>
  </si>
  <si>
    <t>Es probable que el sistema de IA tenga poco o ningún impacto en: 
- Los derechos de las personas y comunidades
- La salud y el bienestar de personas y comunidades
- Los intereses económicos de individuos, entidades o comunidades
- La sostenibilidad del ecosistema
Las decisiones de nivel N1 a menudo conducirán a impactos reversibles y breves</t>
  </si>
  <si>
    <t>No sensible a escala</t>
  </si>
  <si>
    <t>N2 - Medio</t>
  </si>
  <si>
    <t>El sistema de IA probablemente tendrá impactos moderados en:
- Los derechos de las personas o comunidades 
- La salud o el bienestar de personas o comunidades.
- Los intereses económicos de individuos, entidades o comunidades.
- La sostenibilidad del ecosistema.
Las decisiones de nivel N2 a menudo generarán impactos que probablemente sean reversibles y de corto plazo.</t>
  </si>
  <si>
    <t>Escala individual (bajo) --&gt; N1  Bajo
Escala grupal (medio) --&gt; N2 - Medio
Escala social (alta) --&gt; N3 - Medio / Alto</t>
  </si>
  <si>
    <t>N3 - Medio / Alto</t>
  </si>
  <si>
    <t>El sistema de IA probablemente tendrá grandes impactos en:
- Los derechos de las personas o comunidades 
- La salud o el bienestar de personas o comunidades.
- Los intereses económicos de individuos, entidades o comunidades.
- La sostenibilidad del ecosistema.
Las decisiones de nivel N3 a menudo generarán impactos que pueden ser difíciles de revertir y con un impacto a medio/corto plazo.</t>
  </si>
  <si>
    <t>Escala individual (bajo) --&gt; N2 Medio
Escala grupal (medio) --&gt; N3 - Medio / Alto
Escala social (alta) --&gt; N4 - Alto</t>
  </si>
  <si>
    <t>N4 - Alto</t>
  </si>
  <si>
    <t>El sistema de IA probablemente tendrá grandes impactos en:
- Los derechos de las personas o comunidades 
- La salud o el bienestar de personas o comunidades.
- Los intereses económicos de individuos, entidades o comunidades.
- La sostenibilidad del ecosistema.
Las decisiones de nivel N4 a menudo generarán impactos que pueden ser difíciles de revertir y que sean continuos.</t>
  </si>
  <si>
    <t>Escala individual (bajo) --&gt; N3 - Medio / Alto
Escala grupal (medio) --&gt; N4 - Alto
Escala social (alta) --&gt; N5 - Crítico</t>
  </si>
  <si>
    <t>N5 - Crítico</t>
  </si>
  <si>
    <t>El sistema de IA probablemente tendrá impactos muy importantes en:
- Los derechos de las personas o comunidades 
- La salud o el bienestar de personas o comunidades.
- Los intereses económicos de individuos, entidades o comunidades.
- La sostenibilidad del ecosistema.
Las decisiones de nivel N5 a menudo conducirán a impactos irreversibles y perpetuos.</t>
  </si>
  <si>
    <t>Impacto</t>
  </si>
  <si>
    <t>Minimo</t>
  </si>
  <si>
    <t>Moderado</t>
  </si>
  <si>
    <t>Serio</t>
  </si>
  <si>
    <t>Grave</t>
  </si>
  <si>
    <t>Muy Grave</t>
  </si>
  <si>
    <t>Probabilidad</t>
  </si>
  <si>
    <t>Frecuente</t>
  </si>
  <si>
    <t>Recurrente</t>
  </si>
  <si>
    <t>Posible</t>
  </si>
  <si>
    <t>Inusual</t>
  </si>
  <si>
    <t>Remota</t>
  </si>
  <si>
    <t>Riesgo de muy dificil materialización por su improbabilidad de ocurrencia o por no darse circunstancias en el entorno que propicien su comisión</t>
  </si>
  <si>
    <t>Riesgo de dificil materialización por su improbabilidad de ocurrencia.</t>
  </si>
  <si>
    <t>Riesgo de posible materialización por naturaleza y por darse circunstancias en el entorno que posibilitan su aparición.</t>
  </si>
  <si>
    <t>Escenarios sobre los que se tiene conocimiento de antecedentes en la compañía o en otras similares y cuyos controles son poco maduros</t>
  </si>
  <si>
    <t>Escenarios sobre los que se conocen antecedentes recientes en la compañía y para los cuales actualmente no existen controles suficientes</t>
  </si>
  <si>
    <t>Escenarios sobre los que el impacto ético, legal, económico, reputacional se estima prácticamente nulo respecto de los grupos de interés</t>
  </si>
  <si>
    <t>Escenarios que suponen un impacto moderado a nivel ético, legal, económico o reputacional para la entidad</t>
  </si>
  <si>
    <t>Escenarios que suponen un impacto serio a nivel ético, legal, económico o reputacional para la entidad</t>
  </si>
  <si>
    <t>Escenarios que suponen un impacto grave  a nivel ético, legal, económico o reputacional para la entidad</t>
  </si>
  <si>
    <t>Escenarios que llegados a meterializarse suponen un impacto muy grave a nivel ético, legal, económico o reputacional para la entidad</t>
  </si>
  <si>
    <t>Escala</t>
  </si>
  <si>
    <t>Bajo</t>
  </si>
  <si>
    <t>Escenarios que, llegados a materializarse, provocarían un impacto individual</t>
  </si>
  <si>
    <t>Medio</t>
  </si>
  <si>
    <t>Escenarios que, llegados a materializarse, provocarían un impactoa un grupo o comunidad</t>
  </si>
  <si>
    <t>Alto</t>
  </si>
  <si>
    <t>Escenarios que, llegados a materializarse, provocarían un impacto social</t>
  </si>
  <si>
    <t>CLASIFICACIÓN GLOBAL</t>
  </si>
  <si>
    <t>General</t>
  </si>
  <si>
    <t>General Categorico Impacto</t>
  </si>
  <si>
    <t>General Categorico Propabilidad</t>
  </si>
  <si>
    <t>General Categorico Escala</t>
  </si>
  <si>
    <t>Grados</t>
  </si>
  <si>
    <t>SI</t>
  </si>
  <si>
    <t>Muy Bajo</t>
  </si>
  <si>
    <t>NO</t>
  </si>
  <si>
    <t>Muy Alto</t>
  </si>
  <si>
    <t>REGISTRO - TIPIFICACIÓN BÁSICA</t>
  </si>
  <si>
    <t>Tipo de tecnología</t>
  </si>
  <si>
    <t>Open Source</t>
  </si>
  <si>
    <t>Propietaria</t>
  </si>
  <si>
    <t>Ambas</t>
  </si>
  <si>
    <t>Prendiente de determinar</t>
  </si>
  <si>
    <t>Estrategias de aprendizaje automático</t>
  </si>
  <si>
    <t>Aprendizaje supervisado</t>
  </si>
  <si>
    <t>Aprendizaje no supervisado</t>
  </si>
  <si>
    <t>Aprendizaje semi-supervisado</t>
  </si>
  <si>
    <t>Aprendizaje por refuerzo</t>
  </si>
  <si>
    <t>Aprendizaje profundo por redes neuronales</t>
  </si>
  <si>
    <t>Ninguno</t>
  </si>
  <si>
    <t>Otros</t>
  </si>
  <si>
    <t>Grado de desarrollo</t>
  </si>
  <si>
    <t>Incipiente</t>
  </si>
  <si>
    <t>En diseño</t>
  </si>
  <si>
    <t>En desarrollo y evaluación</t>
  </si>
  <si>
    <t xml:space="preserve"> En validación</t>
  </si>
  <si>
    <t>En producción</t>
  </si>
  <si>
    <t>OUTPUT DEL SISTEMA</t>
  </si>
  <si>
    <t>GENERACIÓN DE TEXTO</t>
  </si>
  <si>
    <t>GENERACIÓN DE MÚSICA</t>
  </si>
  <si>
    <t>GENERACIÓN DE ARTE</t>
  </si>
  <si>
    <t>GENERACIÓN DE CÓDIGO</t>
  </si>
  <si>
    <t>CLASIFICADOR</t>
  </si>
  <si>
    <t>DETECCIÓN DE OBJETOS</t>
  </si>
  <si>
    <t>TRADUCCIÓN AUTOMÁTICA</t>
  </si>
  <si>
    <t>RECONOCIMIENTO DE VOZ</t>
  </si>
  <si>
    <t>RESUMEN AUTOMÁTICO</t>
  </si>
  <si>
    <t>ANÁLISIS DE DATOS</t>
  </si>
  <si>
    <t>RECOMENDADOR</t>
  </si>
  <si>
    <t>OPTIMIZACIÓN DE PROCESOS</t>
  </si>
  <si>
    <t>PREDICCIÓN DE EVENTOS</t>
  </si>
  <si>
    <t>ASISTENTES VIRTUALES</t>
  </si>
  <si>
    <t>AUTOMATIZACIÓN DE PROCESOS</t>
  </si>
  <si>
    <t>CONTROL DE ROBOTS Y SISTEMAS</t>
  </si>
  <si>
    <t>ANÁLISIS DE SENTIMIENTOS</t>
  </si>
  <si>
    <t>DIAGNÓSTICO MÉDICO</t>
  </si>
  <si>
    <t>OTROS</t>
  </si>
  <si>
    <t>DOMINIO</t>
  </si>
  <si>
    <t>SUBDOMINIO</t>
  </si>
  <si>
    <t>RIESGO</t>
  </si>
  <si>
    <t>Elementos de riesgo</t>
  </si>
  <si>
    <t>Respuesta</t>
  </si>
  <si>
    <t>Ponderación</t>
  </si>
  <si>
    <t>Ámbito</t>
  </si>
  <si>
    <t>Valores centrados en el ser humano y equidad</t>
  </si>
  <si>
    <t>Responsabilidad</t>
  </si>
  <si>
    <t>Transparencia y explicabilidad</t>
  </si>
  <si>
    <t>Bienestar social y ambiental</t>
  </si>
  <si>
    <t>Privacidad y data governance</t>
  </si>
  <si>
    <t>Técnicos</t>
  </si>
  <si>
    <t>Seguridad</t>
  </si>
  <si>
    <t>Ética</t>
  </si>
  <si>
    <t>Negocio</t>
  </si>
  <si>
    <t>Legal</t>
  </si>
  <si>
    <t>REGISTRO DE CARACTERÍSTICAS</t>
  </si>
  <si>
    <t>TIPIFICACIÓN BÁSICA</t>
  </si>
  <si>
    <t>NOMBRE</t>
  </si>
  <si>
    <t>Nombre de la solución de IA</t>
  </si>
  <si>
    <t>Preselección de empleados</t>
  </si>
  <si>
    <t>DESCRIPCIÓN SISTEMA</t>
  </si>
  <si>
    <t>Descripción de la solución de IA</t>
  </si>
  <si>
    <t>Herramienta de preselección de CVs según match de criterios con perfil</t>
  </si>
  <si>
    <t>GRADO DE DESARROLLO</t>
  </si>
  <si>
    <t>Estado de desarrollo en que se encuentra la solución de IA</t>
  </si>
  <si>
    <t>FECHA DE DESARROLLO</t>
  </si>
  <si>
    <t>Fecha en que se desarrolló el sistema de IA (última actualización)</t>
  </si>
  <si>
    <t>n/a</t>
  </si>
  <si>
    <t>VIDA ÚTIL PREVISTA</t>
  </si>
  <si>
    <t>Fecha prevista de fin de utilización del sistema</t>
  </si>
  <si>
    <t>TECNOLOGÍAS DESARROLLO</t>
  </si>
  <si>
    <t>Tipología de tecnologías utilizadas en su desarrollo (Open Source / Propietarias / Ambas / Pendiente de determinar)</t>
  </si>
  <si>
    <t>DESCRIPCIÓN TECNOLOGÍAS</t>
  </si>
  <si>
    <t>Detalle de las tecnologías utilizadas en el desarrollo de la solución de IA (texto abierto o desplegable de las tecnologías aprobadas por la compañía)</t>
  </si>
  <si>
    <t>python, Meta4</t>
  </si>
  <si>
    <t>PROPÓSITO</t>
  </si>
  <si>
    <t>DESCRIPCIÓN PROPÓSITO</t>
  </si>
  <si>
    <t>Descripción del propósito general del sistema y del uso particular que se le va a dar dentro de la compañía</t>
  </si>
  <si>
    <t>Automatización de macheo de CVs y perfil buscado</t>
  </si>
  <si>
    <t>USO INTERNO / EXTERNO</t>
  </si>
  <si>
    <t>¿Se trata de un sistema de IA exclusivamente para uso interno de la compañía?</t>
  </si>
  <si>
    <t>USUARIOS SECUNDARIOS DEL SISTEMA DE IA</t>
  </si>
  <si>
    <r>
      <t xml:space="preserve">¿Se identifican usuarios secundarios del sistema de IA?
</t>
    </r>
    <r>
      <rPr>
        <i/>
        <sz val="11"/>
        <color rgb="FF00338D"/>
        <rFont val="Univers 45 Light"/>
      </rPr>
      <t>*Se refiere a individuos o entidades que interactúan o se ven afectados por el sistema de manera indirecta o secundaria sin ser los usuarios principales o directos. Por ejemplo, productoras de películas que los recomendadores recomiendan a los usuarios de una plataforma online o empleados cuando la tecnología afecta a sus roles laborales (gestión de RRHH para la Dirección)</t>
    </r>
  </si>
  <si>
    <t>PROCESOS CRÍTICOS</t>
  </si>
  <si>
    <t>¿Forma parte el sistema de un proceso crítico para la compañía?</t>
  </si>
  <si>
    <t>RETO DE NEGOCIO</t>
  </si>
  <si>
    <t>¿Resuelve el sistema de IA un reto de negocio que se estaba ya resolviendo con un procedimiento distinto?</t>
  </si>
  <si>
    <t>ALINEAMIENTO PROPÓSITO</t>
  </si>
  <si>
    <t>¿Se circunscribe la utilización del sistema de IA al propósito para el que fue creado inicialmente?</t>
  </si>
  <si>
    <t>PRICING</t>
  </si>
  <si>
    <t>¿Se emplea el sistema de IA para la determinación de precios de productos / servicios?</t>
  </si>
  <si>
    <t>PROPÓSITO GENERAL</t>
  </si>
  <si>
    <t>¿Es un sistema de IA de propósito general?</t>
  </si>
  <si>
    <t>Probabilidad e impacto</t>
  </si>
  <si>
    <t>IA GENERATIVA</t>
  </si>
  <si>
    <t>¿Es un sistema de IA generativa?</t>
  </si>
  <si>
    <t>ROL DE LA COMPAÑÍA EN LA CADENA DE VALOR</t>
  </si>
  <si>
    <t>PROVEEDOR / DESARROLLADOR</t>
  </si>
  <si>
    <t>¿Es la entidad proveedor o desarrollador del sistema de IA?</t>
  </si>
  <si>
    <t>IMPLEMENTADOR</t>
  </si>
  <si>
    <t>¿Es la entidad implementadora del sistema de IA?</t>
  </si>
  <si>
    <t>REPRESENTANTE AUTORIZADO</t>
  </si>
  <si>
    <t>¿Es la entidad representante autorizado del sistema de IA?</t>
  </si>
  <si>
    <t>IMPORTADOR</t>
  </si>
  <si>
    <t>¿Es la entidad importadora del sistema de IA?</t>
  </si>
  <si>
    <t>DISTRIBUIDOR</t>
  </si>
  <si>
    <t>¿Es la entidad distribuidora del sistema de IA?</t>
  </si>
  <si>
    <t>DISEÑO</t>
  </si>
  <si>
    <t>¿Es la entidad quien ha diseñado la solución y el sistema de IA?</t>
  </si>
  <si>
    <t>FINANCIACIÓN</t>
  </si>
  <si>
    <t>¿Es la entidad quien financia el desarrollo del sistema de IA?</t>
  </si>
  <si>
    <t>USO PARA ACTIVIDADES PROFESIONALES</t>
  </si>
  <si>
    <t>¿Utiliza el sistema de IA bajo su propia autoridad para actividades profesionales (art.3(4) RIA?</t>
  </si>
  <si>
    <t>NOMBRE O MARCA COMERCIAL</t>
  </si>
  <si>
    <t>¿Lleva el sistema de IA el nombre o marca comercial de una persona física o jurídica establecida fuera de la Unión (art. 3(5) RIA?</t>
  </si>
  <si>
    <t>COMERCIALIZACIÓN EN UNIÓN EUROPEA</t>
  </si>
  <si>
    <t>¿Comercializa el sistema de IA en el mercado de la Unión Europea sin influir sobre sus propiedades (art. 3(5) RIA?</t>
  </si>
  <si>
    <t>ACTUACIÓN EN NOMBRE DE UN TERCERO</t>
  </si>
  <si>
    <t>¿Ha recibido mandato del proveedor de IA para actuar en su nombre, cumpliendo las obligaciones y llevando a cabo los procedimientos correspondientes (art.3(5) RIA?</t>
  </si>
  <si>
    <t>TECNOLOGÍAS Y ESTRATEGIAS DE APRENDIZAJE</t>
  </si>
  <si>
    <t>ESTRATEGIAS DE APRENDIZAJE AUTOMÁTICO</t>
  </si>
  <si>
    <t>¿El sistema emplea las siguientes estrategias de aprendizaje automático?</t>
  </si>
  <si>
    <t>SOFTWARE INDEPENDIENTE</t>
  </si>
  <si>
    <t>¿Se utiliza en un software de manera independiente?</t>
  </si>
  <si>
    <t>PRODUCTO FÍSICO INTEGRADO</t>
  </si>
  <si>
    <t>¿Forma parte de un producto físico (integrado)?</t>
  </si>
  <si>
    <t>PRODUCTO NO INTEGRADO</t>
  </si>
  <si>
    <t>¿Se utiliza para cumplir una funcionalidad de un producto físico sin formar parte de él (no integrado)?</t>
  </si>
  <si>
    <t>COMPONENTE DE UN SISTEMA DE IA MAYOR</t>
  </si>
  <si>
    <t>¿Se utiliza como componente de IA de un sistema mayor?</t>
  </si>
  <si>
    <t>AUTONOMÍA CON RESPECTO AL COMPONENTE</t>
  </si>
  <si>
    <t>En caso de que se utilice como componente de IA de un sistema mayor, ¿ese sistema más amplio es capaz de funcionar sin el componente de IA en cuestión?</t>
  </si>
  <si>
    <t>¿Cuál seria el output del sistema?</t>
  </si>
  <si>
    <t>DERECHOS FUNDAMENTALES</t>
  </si>
  <si>
    <t>DESARROLLO DE PROCEDIMIENTO</t>
  </si>
  <si>
    <t>¿Existe un procedimiento de Privacidad y Seguridad desde el Diseño por medio del cual se prevé desarrollar el sistema teniendo en cuenta tanto la Privacidad como la Seguridad del mismo?</t>
  </si>
  <si>
    <t>Derechos Fundamentales</t>
  </si>
  <si>
    <t>¿Podría el sistema de IA afectar a alguno de los siguientes derechos fundamentales (ver comentario)?
derecho a la dignidad humana
respeto de la vida privada y familiar
protección de datos de carácter personal
libertad de expresión y de información
libertad de reunión y de asociación
no discriminación
derecho a la educación
protección de los consumidores
derechos de los trabajadores
derechos de las personas discapacitadas
igualdad entre hombres y mujeres
derechos de propiedad intelectual
derecho a la tutela judicial efectiva y a un juez imparcial
derecho a una buena administración
derechos de la defensa y la presunción de inocencia</t>
  </si>
  <si>
    <t>Derechos Fundamentales probabilidad</t>
  </si>
  <si>
    <t>¿En caso afirmativo cual es la probabilidad de que el sistema de IA afecte subsidiariamente a alguno de los derechos fundamentales?</t>
  </si>
  <si>
    <t>AUTONOMIA</t>
  </si>
  <si>
    <t>¿Podría el sistema de IA afectar a la autonomía humana interfiriendo en el proceso de toma de decisiones del usuario (final) de forma no intencionada?</t>
  </si>
  <si>
    <t>AUTONOMIA GRADO</t>
  </si>
  <si>
    <t>En caso afirmativo ¿Cuál seria la probabilidad de afectar a la autonomía humana?</t>
  </si>
  <si>
    <t>PROPORCIONALIDAD</t>
  </si>
  <si>
    <t>¿Se ha comprobado si es proporcionada, responable y subsidiaria la utilización del sistema para lograr los objetivos previstos?</t>
  </si>
  <si>
    <t>DATOS</t>
  </si>
  <si>
    <t>¿Ha tenido en cuenta la diversidad y representatividad de los usuarios en los datos? </t>
  </si>
  <si>
    <t>DATOS PERSONALES</t>
  </si>
  <si>
    <t>¿Hace el sistema directa o indirectamente uso de datos de carácter personal?</t>
  </si>
  <si>
    <t>DATOS PERSONALES RESPONSABLES</t>
  </si>
  <si>
    <t>En caso afirmativo ¿Hay un responable del tratamiento de los datos de carater pernoal identificado?</t>
  </si>
  <si>
    <t>SUBPOBLACIONES</t>
  </si>
  <si>
    <t>¿Se protegen las subpoblaciones, si es necesario, aplicando muestreos aleatorios?</t>
  </si>
  <si>
    <t>PRIVACIDAD</t>
  </si>
  <si>
    <t>DOCUMENTACIÓN NATURALEZA Y ALCANCE</t>
  </si>
  <si>
    <t xml:space="preserve">¿Se han documentado dentro del principio de Privacidad y Seguridad desde el diseño las cantidades de datos necesarios para los análísis, la sensbilidad de los mismos, las medidas de reidentificación y sus riesgos, la naturaleza alcance contexto y propósitos del tratamiento así como los riesgos en los derechos y libertaes de los individuos? </t>
  </si>
  <si>
    <t>¿Se ha documentado claramente el propósito del modelo IA así como los criterios más importantes de los que va a hacer uso el mismo?</t>
  </si>
  <si>
    <t>REQUISITOS DE SEGURIDAD</t>
  </si>
  <si>
    <t>¿Se han tenido en cuenta los requisitos de seguridad que se deben implantar desde fases tempranas? Estos requisitos basados en buenas prácticas y estándares internacionales deben agrupar los distintos aspectos a tener en cuenta, desde como se debe llevar a cabo el gobierno, como los requisitos técnicos de los distintos elementos que configuran la solución</t>
  </si>
  <si>
    <t>SEGURIDAD TECNOLÓGICA</t>
  </si>
  <si>
    <t>PRECISIÓN Y SOLIDEZ</t>
  </si>
  <si>
    <t>NIVEL</t>
  </si>
  <si>
    <t>¿Qué grado de precisión, solidez y ciberseguridad alcanza el sistema de IA durante todo su ciclo de vida (art 15.1 RIA)?</t>
  </si>
  <si>
    <t>RESISTENCIA</t>
  </si>
  <si>
    <t>¿El sistema de IA es resistente a los errores, fallos e incoherencias que pueden surgir en los propios sistemas o en el entorno donde operan, en particular a causa de su interacción con personas físicas u otros sistemas (art 15.3 RIA)?</t>
  </si>
  <si>
    <t>SESGOS</t>
  </si>
  <si>
    <t>¿Se han desarrollado el sistema de forma resitente y se establecen medidas de mitigación a los posibles sesgos en la información de salida (art 15.3 RIA)?</t>
  </si>
  <si>
    <t>CONTROLES</t>
  </si>
  <si>
    <t>¿Existen controles humanos en torno a la integridad y precisión de los conjuntos de datos utilizados por la solución de IA, por ejemplo, para respaldar el proceso de toma de decisiones, y pueden demostrarse y probarse?</t>
  </si>
  <si>
    <t>DATOS SEGUROS</t>
  </si>
  <si>
    <t>¿Los conjuntos de datos de entrada de AI están configurados de forma segura contra la intervención humana o de máquinas?</t>
  </si>
  <si>
    <t>REVERSIÓN</t>
  </si>
  <si>
    <t>¿Existe un mecanismo de reversión en caso de que la solución de IA se vuelva ineficaz?</t>
  </si>
  <si>
    <t>CIBERSEGURIDAD</t>
  </si>
  <si>
    <t>VULNERABILIDAD</t>
  </si>
  <si>
    <t>¿Se tendrá en cuenta los diferentes tipos y naturalezas de vulnerabilidades, como la contaminación de datos, la extracción del modelo, la infraestructura física o los ciberataques a las que podría ser vulnerable el sistema de IA?  Directrices Éticas - CE </t>
  </si>
  <si>
    <t>ENTORNOS CAMBIANTES</t>
  </si>
  <si>
    <t>¿Ha comprobado cómo se comporta el sistema en situaciones y entornos inesperados? _x000B_Directrices Éticas - CE </t>
  </si>
  <si>
    <t>SEGURIDAD DESDE EL DISEÑO</t>
  </si>
  <si>
    <t>¿Se ha llevado a cabo una metodología de desarrollo, políticas y estándares para garantizar la "seguridad desde el diseño"?</t>
  </si>
  <si>
    <t>PLAN DE EMERGENCIA Y SEGURIDAD</t>
  </si>
  <si>
    <t>PLAN EMERGENCIA</t>
  </si>
  <si>
    <t>¿Se ha asegurado de que su sistema dispone de un plan de emergencia suficiente si se enfrenta a ataques de adversarios u otras situaciones inesperadas (por ejemplo, procedimientos técnicos de conmutación o solicitud de un operador humano)? Directrices Éticas - CE</t>
  </si>
  <si>
    <t>EVALUACIÓN DAÑO</t>
  </si>
  <si>
    <t>¿Se ha evaluado y documentado la probabilidad del daño potencial del sistema IA, el público afectado y la gravedad?_x000B_Directrices Éticas - CE .</t>
  </si>
  <si>
    <t>PONDERACIÓN DAÑO</t>
  </si>
  <si>
    <t>¿Cómo definirias la probabilidad del daño potencial del sistema IA y su gravedad?_x000B_Directrices Éticas - CE .</t>
  </si>
  <si>
    <t>FIABILIDAD Y REPRODUCIBILIDAD</t>
  </si>
  <si>
    <t>REPRODUCIBILIDAD CONTEXTO</t>
  </si>
  <si>
    <t>¿El sistema AI necesita tener en cuenta contextos específicos o condiciones particulares para garantizar la reproducibilidad?  Directrices Éticas - CE .</t>
  </si>
  <si>
    <t>PROCESOS ENTORNOS</t>
  </si>
  <si>
    <t>¿Ha establecido procesos para describir cuándo falla un sistema de IA en determinados tipos de entornos? Directrices Éticas - CE .</t>
  </si>
  <si>
    <t>EFECTO DE CEREBRO DIVIDIDO</t>
  </si>
  <si>
    <t>¿Ha implementado medidas para prevenir el "efecto de cerebro dividido", es decir, la ejecución en paralelo de múltiples instancias de una solución de IA (caliente-caliente), que podrían utilizar los mismos datos y aprender de manera diferente?</t>
  </si>
  <si>
    <t>DATOS REPRESENTATIVOS</t>
  </si>
  <si>
    <t>¿Se han establecido controles para tener una seguridad razonable de que se proporcionaron datos suficientes (p. ej., que cubren un período de tiempo o variaciones suficientes en la población) para permitir que el modelo genere resultados generalizables?</t>
  </si>
  <si>
    <t>ESTABILIDAD Y ROBUSTEZ</t>
  </si>
  <si>
    <t xml:space="preserve"> ADAPTABILIDAD A NUEVOS DATOS</t>
  </si>
  <si>
    <t>En el caso de componentes IA de aprendizaje continuo, ¿se ha evaluado el grado de adaptabilidad a nuevos datos o tipos de datos de entrada y se han definido los procedimientos, mecanismos de supervisión y responsabilida para verificar que las conclusiones extraídas siguen siendo válidas? Auditorías IA - AEPD .</t>
  </si>
  <si>
    <t>EXPLICABILIDAD</t>
  </si>
  <si>
    <t>DOCUMENTACÓN EXPLICABILIDAD</t>
  </si>
  <si>
    <t>¿Se ha documentado la experiencia necesaria para el mantenimiento del sistema de IA a terceros?</t>
  </si>
  <si>
    <t>SALUD FÍSICA Y MENTAL</t>
  </si>
  <si>
    <t>SALUD FÍSICA</t>
  </si>
  <si>
    <t>SECTOR DE LA SALUD</t>
  </si>
  <si>
    <t>¿El sistema de IA se va a utilizar con un propósito relacionado con el sector de la salud?</t>
  </si>
  <si>
    <t>HÁBITOS DE VIDA</t>
  </si>
  <si>
    <t>¿El sistema de IA puede influir en los hábitos de vida de las personas, como la dieta, el ejercicio o el sueño?</t>
  </si>
  <si>
    <t>GRADO HÁBITOS DE VIDA</t>
  </si>
  <si>
    <t>¿Cuál es la probabilidad de que el sistema de IA pueda influir en los hábitos de vida de las personas?</t>
  </si>
  <si>
    <t>SEGURIDAD E INTEGRIDAD FÍSICA</t>
  </si>
  <si>
    <t>¿La solución IA tiene un impacto directo en la seguridad, salud e integridad física de las personas?</t>
  </si>
  <si>
    <t>GRADO SEGURIDAD E INTEGRIDAD FÍSICA</t>
  </si>
  <si>
    <t>¿En que grado puede el sistema IA tiene un impacto directo en la seguridad e integridad física de las personas?</t>
  </si>
  <si>
    <t>ERRORES SALUD</t>
  </si>
  <si>
    <t>¿Se han identificado errores o fallos en el sistema de IA que hayan tenido un impacto negativo en la salud de las personas? </t>
  </si>
  <si>
    <t>SALUD MENTAL</t>
  </si>
  <si>
    <t>SALUD EMOCIONAL</t>
  </si>
  <si>
    <t>¿El sistema de IA puede generar información que afecte negativamente a la salud emocional de los ciudadanos?</t>
  </si>
  <si>
    <t>SESGO COLECTIVOS VULNERABLES</t>
  </si>
  <si>
    <t>¿Existe sesgo en el conjunto de datos hacia colectivos vulnerables?</t>
  </si>
  <si>
    <t>IMPACTO MEDIOAMBIENTAL</t>
  </si>
  <si>
    <t>HUELLA DE CARBONO</t>
  </si>
  <si>
    <t>¿Se ha contabilizado y documentado el impacto o huella de carbono del desarrollo, despliegue y uso del Sistema de IA?</t>
  </si>
  <si>
    <t>RECICLAJE</t>
  </si>
  <si>
    <t>¿Se ha planteado una vez esté fuera de servicio el sistema como será el proceso de desmantelamiento, reciclaje del hardware obsoleto?</t>
  </si>
  <si>
    <t>IMPACTO SOCIAL</t>
  </si>
  <si>
    <t>APEGO Y EMPATÍA HACIA EL SISTEMA</t>
  </si>
  <si>
    <t>En base a la información disponible, ¿considera que el sistema de IA fomenta o puede fomentar que los humanos desarrollen apego y empatía hacia el sistema?</t>
  </si>
  <si>
    <t>RIESGO SOCIAL</t>
  </si>
  <si>
    <t>¿Se ha asegurado de que se comprenden bien las repercusiones sociales del sistema de IA? Por ejemplo, ¿se ha evaluado si existe riesgo de pérdida de empleo o de descualificación de la mano de obra? </t>
  </si>
  <si>
    <t>RIESGO SOCIAL GRADO</t>
  </si>
  <si>
    <t xml:space="preserve">¿En caso afirmativo como evalua el grado de repercusiones sociales del sistema de IA? </t>
  </si>
  <si>
    <t>IMPLICACIONES NEGATIVAS</t>
  </si>
  <si>
    <t>¿Podrian exitir personas o grupos que se vieran desproporcionadamente afectados por las implicaciones negativas de esta tecnología?</t>
  </si>
  <si>
    <t>IMPLICACIONES NEGATIVAS GRADO</t>
  </si>
  <si>
    <t>En caso afirmativo ¿En que grado se vieran afectados dichos grupos por el sistema IA?</t>
  </si>
  <si>
    <t>DESCRIPCIONES IA</t>
  </si>
  <si>
    <t>¿El sistemas IA incluyen descripciones o representaciones de personas, culturas o sociedades en los outputs del sistema?</t>
  </si>
  <si>
    <t>PROPIEDAD INTELECTUAL</t>
  </si>
  <si>
    <t>DERECHOS DE PROPIEDAD INTELECTUAL</t>
  </si>
  <si>
    <t>¿Los derechos de propiedad intelectual asociados al sistema de IA, corresponden o están bajo la titularidad de Telefónica?.</t>
  </si>
  <si>
    <t>AUTORIZACIÓN SUFICIENTE</t>
  </si>
  <si>
    <t>En caso de tratarse de un sistema de IA desarrollado basado en elementos u obras preexistentes, ¿se ha contado con la autorización suficiente para su uso o aplicación por parte de posibles terceros?</t>
  </si>
  <si>
    <t>TRAZADO Y DOCUMENTADO</t>
  </si>
  <si>
    <t>En caso de tratarse de un sistema de IA desarrollado basado en elementos u obras preexistentes, ¿se ha trazado y documentado convenientemente el uso de las obras preexistentes para la generación del nuevo sistema de IA?</t>
  </si>
  <si>
    <t>AUTORIZACIÓN/LICENCIA</t>
  </si>
  <si>
    <t>En caso de tratarse de un sistema de IA desarrollado por un tercero (ajeno a Telefónica), ¿se ha contado con la debida autorización/licencia de este para tal uso y utilización?</t>
  </si>
  <si>
    <t>INVENTARIADO Y PROTEGIDO</t>
  </si>
  <si>
    <t>¿Se ha identificado, inventariado y protegido de forma adecuada el sistema de IA como activo intangible por relación a los derechos de propiedad intelectual e industrial inherentes a este?</t>
  </si>
  <si>
    <t>¿Se utiliza el sistema de IA para la creación de nuevos contenidos u obras?</t>
  </si>
  <si>
    <t>DATOS PROTEGIDOS</t>
  </si>
  <si>
    <t>¿Se utiliza información (datos, imágenes, voz, etc.) para el entrenamiento de los sistemas que puedan estar protegidos por derechos de propiedad intelectual (incluyendo derechos de autor o derechos de imagen)?</t>
  </si>
  <si>
    <t>ID Req.</t>
  </si>
  <si>
    <t>Clasificación</t>
  </si>
  <si>
    <t>Origen</t>
  </si>
  <si>
    <t>Equipo responsable</t>
  </si>
  <si>
    <t>Clasificación sistema IA</t>
  </si>
  <si>
    <t>Rol</t>
  </si>
  <si>
    <t>Grado de madurez</t>
  </si>
  <si>
    <t>Comentarios internos</t>
  </si>
  <si>
    <t>El sistema de IA debe ser diseñado y desarrollado de un modo que garantice que funciona con un nivel de transparencia suficiente para que los proveedores y usuarios entiendan razonablemente el funcionamiento del sistema</t>
  </si>
  <si>
    <t>art 13.1 RIA</t>
  </si>
  <si>
    <t>Desarrollo</t>
  </si>
  <si>
    <t xml:space="preserve">Ver con Mónica - tenemos que ser más específicos y conocer para qué sistemas aplica este requerimiento </t>
  </si>
  <si>
    <t>Se garantizará una transparencia adecuada, con arreglo a la finalidad prevista del sistema de IA</t>
  </si>
  <si>
    <t>Redundante - revisar con Mónica</t>
  </si>
  <si>
    <t>El usuario debe estar capacitado para comprender y utilizar adecuadamente el sistema de IA sabiendo, en general, cómo funciona el sistema de IA y qué datos trata, lo que le permitirá explicar las decisiones adoptadas por el sistema de IA a la persona afectada</t>
  </si>
  <si>
    <t>En qué casos?</t>
  </si>
  <si>
    <t xml:space="preserve">Se deberá acompañar el sistema de IA con las instrucciones de uso correspondientes en un formato digital o de otro tipo </t>
  </si>
  <si>
    <t>art 13.2  y art 13.3 ter RIA</t>
  </si>
  <si>
    <t>Detalle de qué debe contener (ver slide 48 ppt)</t>
  </si>
  <si>
    <t>Se deberá elaborar la documentación técnica del sistema de IA antes de su introducción en el mercado o puesta en servicio, con el suficiente grado de detalle para que pueda ser adecuadamente comprendida por un usuario capacitado</t>
  </si>
  <si>
    <t>art 11.1 RIA</t>
  </si>
  <si>
    <t>Se deberá mantener debidamente actualizada la documentación técnica</t>
  </si>
  <si>
    <t>En el caso de que el modelo fundacional esté directamente integrado en un sistema de IA de alto riesgo, se deberá elaborar documentación técnica e instrucciones de uso inteligibles para que los proveedores posteriores puedan cumplir las obligaciones derivadas de convertirse en proveedores de alto riesgo</t>
  </si>
  <si>
    <t>arts 28 ter 2(e) RIA</t>
  </si>
  <si>
    <t>Modelos fundacionales</t>
  </si>
  <si>
    <t>La documentación técnica, incluirá como mínimo la siguiente información, aplicable al sistema de IA pertinente</t>
  </si>
  <si>
    <t>art.11.1</t>
  </si>
  <si>
    <t>Redundante - revisar con Mónica - detalle en slide 49</t>
  </si>
  <si>
    <t>Se diseñarán y desarrollarán con capacidades que permitan registrar automáticamente eventos («archivos de registro») mientras están en funcionamiento. Estas capacidades de registro se ajustarán a las normas o las especificaciones comunes reconocidas y al estado de la técnica</t>
  </si>
  <si>
    <t>art 12.1 RIA</t>
  </si>
  <si>
    <t>Alto riesgo</t>
  </si>
  <si>
    <t>Mayor detalle ¿?</t>
  </si>
  <si>
    <t xml:space="preserve">Las capacidades de registro facilitarán el seguimiento de las operaciones de vigilancia e información entre implementadores y proveedores, y el seguimiento posterior a la comercialización por parte de los proveedores. En particular, permitirán el registro de acontecimientos pertinentes para la detección de determinadas situaciones </t>
  </si>
  <si>
    <t>art 12.2 RIA</t>
  </si>
  <si>
    <t>Se diseñarán y desarrollarán con capacidades de registro que permitan registrar el consumo de energía, la medición o el cálculo del uso de los recursos y el impacto ambiental del sistema de IA de alto riesgo durante todas las fases de su ciclo de vida</t>
  </si>
  <si>
    <t>art 12.2 bis RIA</t>
  </si>
  <si>
    <t>Disponer de un sistema de gestión de la calidad. Se deberá documentar de manera sistemática y ordenada mediante políticas, procedimientos o instrucciones escritas y se podrá introducir en un sistema de gestión de la calidad ya existente con arreglo a los actos legislativos sectoriales de la Unión</t>
  </si>
  <si>
    <t>art 17.1 RIA)</t>
  </si>
  <si>
    <t>Negocio / desarrollo</t>
  </si>
  <si>
    <t>Proveedores</t>
  </si>
  <si>
    <t>Detalle en slide 52</t>
  </si>
  <si>
    <t>Conservar los archivos de registro que generen automáticamente sus sistemas de IA de alto riesgo en la medida en que dichos archivos estén bajo su control. Los archivos de registro se conservarán durante un período mínimo de seis meses. El período de conservación se ajustará a las normas del sector y será adecuado para la finalidad prevista del sistema de IA de alto riesgo</t>
  </si>
  <si>
    <t>art 20.1 RIA</t>
  </si>
  <si>
    <t>conservar los archivos de registro que los sistemas de IA de alto riesgo generen automáticamente en la medida en que dichos archivos estén bajo su control</t>
  </si>
  <si>
    <t>art 29.5 RIA párrafo 1</t>
  </si>
  <si>
    <t>Implementadores</t>
  </si>
  <si>
    <t>Se conservarán durante un período mínimo de seis meses. El período de conservación se ajustará a las normas del sector y será adecuado para la finalidad prevista del sistema de IA de alto riesgo</t>
  </si>
  <si>
    <t>Cumplir las siguientes medidas de mitigación, antes de comercializar o poner en servicio el sistema de IA , independientemente de que se facilite como modelo independiente o esté integrado en un sistema de IA o en un producto, o se proporcione en el marco de licencias libres y de código abierto, como servicio, así como de otros canales de distribución</t>
  </si>
  <si>
    <t>art 28 ter 1 RIA</t>
  </si>
  <si>
    <t>Proveedores fundacionales</t>
  </si>
  <si>
    <t>Detalle en slide 53</t>
  </si>
  <si>
    <t>Aclarar y ser transparente con respecto a las limitaciones de las tecnologías de la IA, los elementos humanos en la IA así como el estado de madurez para evitar expectativas exageradas y exceso de confianza en el esfuerzo de implementación de la solución</t>
  </si>
  <si>
    <t>Best practices</t>
  </si>
  <si>
    <t>Introducir controles de calidad para ayudar a garantizar que se definan las relaciones apropiadas entre variables / eventos e hipótesis, incluidas las interdependencias y la distinción entre correlación y causalidad</t>
  </si>
  <si>
    <t>Aclarar y ser transparente con respecto a las limitaciones de las tecnologías de la IA, los elementos humanos en la IA así como el estado de madurez para evitar expectativas exageradas y exceso de confianza en el esfuerzo de implementación de la solución.</t>
  </si>
  <si>
    <t>El sistema IA debe comunicar a los usuarios (finales) que una decisión, contenido o consejo es el resultado de una decisión algorítmica</t>
  </si>
  <si>
    <t>Implementar el control de versiones para procesos comerciales, código, configuración de bots, aplicaciones, estructuras de datos y clasificación de datos</t>
  </si>
  <si>
    <t>Incorporar toda la documentación y estructuras necesarias durante el diseño y desarrollo de la solución de IA para permitir que se retenga y mantenga el conocimiento requerido que respalda la toma de decisiones</t>
  </si>
  <si>
    <t>Conservar la documentación de los casos de prueba (UAT) y las aprobaciones de las soluciones de IA</t>
  </si>
  <si>
    <t>La metodología de desarrollo, los estándares arquitectónicos y otra documentación técnica y relacionada con los datos debe estar disponible para que los recursos suficientemente capacitados puedan respaldar el desarrollo de nuevas soluciones o nuevas partes de soluciones ya existentes</t>
  </si>
  <si>
    <t>Considerar los controles automatizados de detención/pérdida  en el diseño técnico de la solución de IA para que el comportamiento no deseado se detenga o pause de manera oportuna</t>
  </si>
  <si>
    <r>
      <rPr>
        <b/>
        <sz val="9"/>
        <color rgb="FF00338D"/>
        <rFont val="Arial"/>
        <family val="2"/>
      </rPr>
      <t xml:space="preserve">Revisar y actualizar el código y las versiones de los componentes con dependencias en casos de potencial obsolescencia </t>
    </r>
    <r>
      <rPr>
        <i/>
        <sz val="9"/>
        <color rgb="FF00338D"/>
        <rFont val="Arial"/>
        <family val="2"/>
      </rPr>
      <t>(en función de la fecha de desarrollo y vida útil)</t>
    </r>
  </si>
  <si>
    <t xml:space="preserve">Evaluar en el desarrollo de la solución las perspectivas de desarrollo y soporte, frecuencia de mantenimiento y necesidad de actualización y soporte de componentes a largo plazo </t>
  </si>
  <si>
    <t>Llevar a cabo una adecuada gestión de expectativas, evitando el exceso de confianza por parte de los usuarios en el sistema de IA</t>
  </si>
  <si>
    <t xml:space="preserve">Controles periódicos por parte de supervisores humanos para evaluar y medir la proporcionalidad de las acciones o predicciones. </t>
  </si>
  <si>
    <t>Evaluar el funcionamiento actual del sistema con datos de validación diversos.</t>
  </si>
  <si>
    <t>Emplear herramientas para la detección de bias en los modelos de IA</t>
  </si>
  <si>
    <t>El sistema de IA debe indicar los niveles de precisión y los parámetros de precisión pertinentes en las instrucciones de uso que acompañan al sistema de IA</t>
  </si>
  <si>
    <t>art 15.2 RIA</t>
  </si>
  <si>
    <t>Tecnología / cyber</t>
  </si>
  <si>
    <t>Alto Riesgo</t>
  </si>
  <si>
    <t>El sistema de IA debe ser resistente a los intentos de terceros no autorizados de alterar su uso o funcionamiento aprovechando las vulnerabilidades del sistema</t>
  </si>
  <si>
    <t>art 15.4 RIA</t>
  </si>
  <si>
    <t>Se deben implementar soluciones de redundancia técnica, tales como copias de seguridad o planes de prevención contra fallos.</t>
  </si>
  <si>
    <t>Se deben realizar verificaciones de integridad y precisión en la entrada de datos de forma automática</t>
  </si>
  <si>
    <t>Se deben realizar pruebas de seguridad periódicas para garantizar que los controles de seguridad, los sensores y el monitoreo de los sistemas AI estén operativos</t>
  </si>
  <si>
    <t>Se debe implementar la protección contra malware y se debe monitorizar la disponibilidad de nuevos parches continuamente</t>
  </si>
  <si>
    <t>Se  debe evaluar el impacto antes de que un parche se implemente o instale en el sistema AI.</t>
  </si>
  <si>
    <t>El código y el almacenamiento de datos, deben estar adecuadamente encriptados, así como las comunicaciones de red hacia/desde/dentro de la solución de IA</t>
  </si>
  <si>
    <t>Se deben realizar pruebas de penetración o revisiones de 'equipo rojo' para evaluar la exposición del entorno de IA a las vulnerabilidades</t>
  </si>
  <si>
    <t>Se debe estimar el impacto probable de un fallo en el sistema de IA cuando proporciona resultados erróneos, deja de estar disponible o proporciona resultados socialmente inaceptables (por ejemplo, discriminación)</t>
  </si>
  <si>
    <t xml:space="preserve">Directrices Éticas - CE </t>
  </si>
  <si>
    <t>Se debe establecer métodos de verificación para medir y garantizar distintos aspectos de la fiabilidad y reproducibilidad del sistema</t>
  </si>
  <si>
    <t>Se deben documentar claramente los métodos de verificación y la fiabilidad del sistema</t>
  </si>
  <si>
    <t>Se debe establecer controles para monitorear la calidad de los datos para soluciones que evolucionan con el tiempo (es decir, 'desviación de datos', datos que cambian en el resultado con el tiempo, por lo que los datos de capacitación pueden no proporcionar los indicadores correctos)</t>
  </si>
  <si>
    <t>Se debe que evaluar el comportamiento del componente IA ante casos de uso o entornos imprevistos</t>
  </si>
  <si>
    <t xml:space="preserve">Auditorías IA - AEPD </t>
  </si>
  <si>
    <t>Llevar a cabo un screening periódico de las aplicaciones para la identificación de vulnerabilidades y la aplicación de parches y remediación</t>
  </si>
  <si>
    <t>Asegurar la utilización de identificadores de recursos (components de software) que indiquen claramente la version del componente y comprobar las descargas con firma digital y protocolos de comunicación seguros</t>
  </si>
  <si>
    <t>Asegurar que el código y los datos, así como las comunicaciones de las aplicaciones de IA están encriptados debidamente</t>
  </si>
  <si>
    <t>Monitorizar y llevar un control estricto de los sistemas o bots que emplean contraseñas</t>
  </si>
  <si>
    <t>Garantizar que existe y es conocido por el equipo un procedimiento de gestion de incidentes que contempla los roles y responsabilidades y su gestión: reporte de eventos, valoración, toma de decisions, respuesta, etc.</t>
  </si>
  <si>
    <t>Asegurar la existencia de entornos separados de desarrollo, pruebas y producción</t>
  </si>
  <si>
    <t>Gobierno del dato</t>
  </si>
  <si>
    <t>En el caso de sistemas de IA que utilizan técnicas que implican el entrenamiento de modelos con datos se desarrollarán a partir de conjuntos de datos de entrenamiento, validación y prueba que cumplan los siguientes criterios de calidad expuestos en la medida en que esto sea técnicamente posible de conformidad con el segmento de mercado o ámbito de aplicación de que se trate</t>
  </si>
  <si>
    <t>art 10.1 RIA</t>
  </si>
  <si>
    <t>Tecnología / gobierno del dato</t>
  </si>
  <si>
    <t>Riesgo Alto</t>
  </si>
  <si>
    <t>En el caso de sistemas de IA que utilizan técnicas que no requieran datos de entrada etiquetados, como el aprendizaje no supervisado y el aprendizaje de refuerzo, se desarrollarán sobre la base de conjuntos de datos, como las pruebas y la verificación que cumplen los siguientes criterios de calidad</t>
  </si>
  <si>
    <t>Los conjuntos de datos de entrenamiento, validación y prueba se someterán a una gobernanza adecuada al contexto del uso, así como a la finalidad prevista del sistema de IA. Dichas medidas se centrarán, en particular, en</t>
  </si>
  <si>
    <t>art 10.2 RIA</t>
  </si>
  <si>
    <t>detalle en slide 58</t>
  </si>
  <si>
    <t xml:space="preserve">Los conjuntos de datos de entrenamiento y, cuando se utilicen, los conjuntos de datos de validación y prueba, incluidas las etiquetas, deben ser pertinentes, suficientemente representativos, debidamente evaluados por lo que respecta a los errores y ser tan completos como sea posible en vista de la finalidad prevista. Asimismo, tendrán las propiedades estadísticas adecuadas, también en lo que respecta a las personas o los grupos de personas en relación con los que se pretenda utilizar el sistema de IA de alto riesgo, cuando proceda. Los conjuntos de datos reunirán estas características individualmente para cada conjunto de datos o para una combinación de estos. </t>
  </si>
  <si>
    <t>art 10.3 RIA</t>
  </si>
  <si>
    <t>Los conjuntos de datos tendrán en cuenta, en la medida necesaria en función de su finalidad prevista o los usos indebidos razonablemente previsibles del sistema de IA, las características o elementos particulares del marco geográfico, contextual, conductual o funcional específico en el que se pretende utilizar el sistema de IA de alto riesgo</t>
  </si>
  <si>
    <t>art 10.4 RIA</t>
  </si>
  <si>
    <t>En la medida en que sea estrictamente necesario para garantizar la detección y la corrección de los sesgos negativos asociados a los sistemas de IA, los proveedores de dichos sistemas podrán tratar excepcionalmente las categorías especiales de datos personales que se mencionan en el artículo 9, apartado 1, del Reglamento (UE) 2016/679; el artículo 10 de la Directiva (UE) 2016/680, y el artículo 10, apartado 1, del Reglamento (UE) 2018/1725, ofreciendo siempre las salvaguardias adecuadas para los derechos y las libertades fundamentales de las personas físicas, lo que incluye establecer limitaciones técnicas a la reutilización y la utilización de las medidas de seguridad y protección de la privacidad más recientes. En particular, se aplicarán todas las condiciones siguientes para que se produzca este tratamiento</t>
  </si>
  <si>
    <t>art 10.5 RIA</t>
  </si>
  <si>
    <t>Detalle en slide 59</t>
  </si>
  <si>
    <t>Asegurar que los datos de entrada sean pertinentes y suficientemente representativos para la finalidad prevista del sistema de IA de alto riesgo, en la medida en que ejerza el control sobre dichos datos</t>
  </si>
  <si>
    <t>art 29.3 RIA</t>
  </si>
  <si>
    <t>Los datos de aprendizaje se deben revisar en busca de sesgo de datos y validar mediante pruebas</t>
  </si>
  <si>
    <t>Se debe documentar el sesgo en los datos de entrenamiento del modelo y las técnicas usadas para corrección del sesgo</t>
  </si>
  <si>
    <t>Se tiene que establecer controles para monitorear la calidad de los datos para soluciones que evolucionan con el tiempo (es decir, 'desviación de datos', datos que cambian en el resultado con el tiempo)</t>
  </si>
  <si>
    <t>Se debe realizar una estimación de tiempos en los que es necesario una reevaluación, reajuste o reinicio del componente para ajustarlo a desviaciones en los datos de entrada o cambios en los criterios de toma de decisiones</t>
  </si>
  <si>
    <t>Los inventarios de gobierno de datos del sistema IA, incluido el inventario de clasificación de datos, el marcado de activos de datos y los mapas de flujo de datos, se deben mantener como parte del proceso de gestión de cambio</t>
  </si>
  <si>
    <t>Se deben identificar los roles para administrar los datos y su propiedad (propietario de los datos, administrador de los datos, propietario del aprendizaje, propietario del algoritmo, etc.).</t>
  </si>
  <si>
    <t>Deben existir procesos de trazabilidad del flujo de datos que se usan para el desarrollo y funcionamiento del modelo AI</t>
  </si>
  <si>
    <t>Se deben seguir los procesos de monitoreo de trabajo apropiados para monitorear los trabajos del sistema y las interfaces para garantizar la integridad y la puntualidad del sistema y el procesamiento de datos, y para identificar cualquier interrupción de manera oportuna</t>
  </si>
  <si>
    <t>Se debe disponer de un mapeo de flujo de datos que permita revisar la adecuada gestión de información en todo el ciclo de vida del sistema de IA</t>
  </si>
  <si>
    <t>Antes de poner en uso un sistema de IA de alto riesgo (primer uso del sistema), los implementadores llevarán a cabo una evaluación del impacto de los sistemas en el contexto específico de uso. Esta evaluación abarcará, como mínimo, los siguientes elementos</t>
  </si>
  <si>
    <t>art 29 bis 1 RIA</t>
  </si>
  <si>
    <t>Comité de Ética</t>
  </si>
  <si>
    <t>Detalle en slide 61</t>
  </si>
  <si>
    <t>Si no es posible definir un plan detallado para mitigar los riesgos descritos en el transcurso de la evaluación contemplada, el implementador se abstendrá de poner en uso el sistema de IA de alto riesgo e informará sin demora indebida al proveedor y a las autoridades nacionales de supervisión pertinentes</t>
  </si>
  <si>
    <t>art 29 bis 2 RIA</t>
  </si>
  <si>
    <t>En el transcurso de la evaluación de impacto, se notificará a las autoridades nacionales de supervisión y a las partes interesadas pertinentes e incluirá, en la medida de lo posible, la participación de los representantes de las personas o grupos de personas que probablemente se vean afectadas por el sistema de IA de alto riesgo, incluidos, entre otros, los organismos de igualdad, los organismos de protección de los consumidores, los interlocutores sociales y las agencias de protección de datos, con vistas a recibir su contribución a la evaluación de impacto. Se concederá a estos organismos un plazo de seis semanas para responder</t>
  </si>
  <si>
    <t>art 29 bis 4 RIA</t>
  </si>
  <si>
    <t>Cuando un sistema de IA de alto riesgo presente un riesgo que puede afectar negativamente a la salud y la seguridad, los derechos fundamentales de las personas en general, también en el puesto de trabajo, a la protección de los consumidores, al medio ambiente, a la seguridad pública, o a la democracia o al Estado de Derecho y a otros intereses públicos protegidos por la legislación de armonización de la Unión aplicable, en un grado que vaya más allá de lo que se considere razonable y aceptable en relación con su finalidad prevista o en las condiciones de uso</t>
  </si>
  <si>
    <t>art 22.1 RIA</t>
  </si>
  <si>
    <t>Se informará de inmediato, en particular sobre la naturaleza del incumplimiento y las medidas correctoras pertinentes adoptadas, a las autoridades nacionales de supervisión del Estado miembro donde haya comercializado el sistema y, cuando proceda, al organismo notificado que haya expedido el certificado correspondiente al sistema de IA de alto riesgo</t>
  </si>
  <si>
    <t>Se informará inmediatamente a</t>
  </si>
  <si>
    <t>art 22.1 bis RIA</t>
  </si>
  <si>
    <t>Detalle en slide 62</t>
  </si>
  <si>
    <t>Los modelos fundacionales se diseñarán, desarrollarán y establecerán con capacidades que permitan medir y registrar el consumo de energía y los recursos y, cuando sea técnicamente viable, otros impactos ambientales que la implementación y el uso de los sistemas puedan tener durante todo su ciclo de vida</t>
  </si>
  <si>
    <t>Artículo 28 ter– apartado 2– letra d</t>
  </si>
  <si>
    <t>Cuando un sistema de IA de alto riesgo presente un riesgo afectar negativamente a la salud y la seguridad, los derechos fundamentales de las personas en general, también en el puesto de trabajo, a la protección de los consumidores, al medio ambiente, a la seguridad pública, o a la democracia o al Estado de Derecho y a otros intereses públicos protegidos por la legislación de armonización de la Unión aplicable, el distribuidor informará inmediatamente de ello al proveedor o al importador del sistema y a las autoridades nacionales competentes de los Estados miembros en los que haya comercializado el producto en cuestión y dará detalles, en particular, sobre la no conformidad y las medidas correctoras adoptadas</t>
  </si>
  <si>
    <t>art 27.4 RIA</t>
  </si>
  <si>
    <t>Distribuidores</t>
  </si>
  <si>
    <t>Si el sistema de IA de alto riesgo presenta un riesgo que pueda afectar negativamente a la salud y la seguridad, los derechos fundamentales de las personas en general, también en el puesto de trabajo, a la protección de los consumidores, al medio ambiente, a la seguridad pública, o a la democracia o al Estado de Derecho y a otros intereses públicos protegidos por la legislación de armonización de la Unión aplicable, el importador informará de ello al proveedor del sistema de IA y a las autoridades de vigilancia del mercado</t>
  </si>
  <si>
    <t>art 26.2 RIA</t>
  </si>
  <si>
    <t>Importadores</t>
  </si>
  <si>
    <t>Garantizar un mecanismo que permita a otras personas señalar problemas relacionados con la parcialidad, la discriminación o el rendimiento deficiente del sistema de IA</t>
  </si>
  <si>
    <t>Establecer pasos y formas de comunicación claros sobre cómo y a quién pueden plantearse estas cuestiones</t>
  </si>
  <si>
    <t>Introducir un mecanismo para incluir la participación de las diferentes partes interesadas en el desarrollo y uso del sistema de IA</t>
  </si>
  <si>
    <t>Garantizar una definición adecuada de "imparcialidad" que aplique en el diseño de sistemas de IA</t>
  </si>
  <si>
    <t>Establecer mecanismos para garantizar la equidad en sus sistemas de IA</t>
  </si>
  <si>
    <t>Introducir controles en la solución IA para considerar las sensibilidades al tratar con diferentes grupos éticos/políticos/étnicos/raciales/de género/culturales, etc</t>
  </si>
  <si>
    <t>Evaluar si el equipo que participa en la creación del sistema de IA es representativo del público objetivo</t>
  </si>
  <si>
    <t>Se recomienda recibir comentarios de otros equipos o grupos que representasen diferentes contextos y experiencias</t>
  </si>
  <si>
    <t>Establecer mecanismos para medir el impacto medioambiental del desarrollo, implementación y uso del sistema de IA (por ejemplo, el tipo de energía utilizada por los centros de datos)</t>
  </si>
  <si>
    <t>Adoptar medidas para reducir el impacto medioambiental del ciclo de vida de su sistema de IA</t>
  </si>
  <si>
    <r>
      <t xml:space="preserve">(ESG) Diseño y comunicación de un procedimiento de desecho de dispositivos integrados una vez terminada su vida útil </t>
    </r>
    <r>
      <rPr>
        <i/>
        <sz val="9"/>
        <color rgb="FF00338D"/>
        <rFont val="Arial"/>
        <family val="2"/>
      </rPr>
      <t>(solo aplicable para dispositivos integrados)</t>
    </r>
  </si>
  <si>
    <t>ESG</t>
  </si>
  <si>
    <t>Se deberá dotar de una herramienta de interfaz humano-máquina adecuada</t>
  </si>
  <si>
    <t>art 14.1 RIA</t>
  </si>
  <si>
    <t>Las personas físicas encargadas de garantizar la vigilancia humana tendrán un nivel suficiente de alfabetización en materia de IA</t>
  </si>
  <si>
    <t>Se deberá garantizar la vigilancia humana de alguna de las siguientes maneras (ver Slide 64)</t>
  </si>
  <si>
    <t>art 14.3 RIA</t>
  </si>
  <si>
    <t>Las personas a quienes se encomienda la vigilancia humana deben estar capacitados para: (ver slide 64)</t>
  </si>
  <si>
    <t>art 14.4 RIA</t>
  </si>
  <si>
    <t xml:space="preserve">El sistema de IA debe someterse a procesos de prueba con el fin de determinar las medidas de gestión de riesgos más adecuadas, y sopesar dichas medidas con los beneficios potenciales y los objetivos previstos del sistema de IA </t>
  </si>
  <si>
    <t>art 9.5 RIA</t>
  </si>
  <si>
    <t xml:space="preserve">Los procedimientos de prueba deben ser adecuados para alcanzar la finalidad prevista del sistema de IA </t>
  </si>
  <si>
    <t>art 9.6 RIA</t>
  </si>
  <si>
    <t xml:space="preserve">Realizar las pruebas de los sistemas de IA antes de la  comercialización o puesta en servicio </t>
  </si>
  <si>
    <t>art 9.7 RIA</t>
  </si>
  <si>
    <t>Realizar las pruebas de los sistemas de IA en función de parámetros y umbrales probabilísticos adecuados a la finalidad prevista</t>
  </si>
  <si>
    <t>En el caso de sistemas de IA destinados a interactuar con personas físicas, Se debe informar de manera clara, inteligible y oportuna a dichas personas físicas expuestas a un sistema de IA de que están interactuando con un sistema de IA, excepto en las situaciones en las que esto resulte evidente debido a las circunstancias y al contexto de utilización</t>
  </si>
  <si>
    <t>art 52.1 RIA</t>
  </si>
  <si>
    <t xml:space="preserve">En el caso de sistemas de IA destinados a interactuar con personas físicas, cuando proceda y sea pertinente, esta información también revelará qué funciones se encuentran habilitadas por la IA, si existe vigilancia humana y quién es responsable del proceso de toma de decisiones, así como los derechos y procesos existentes </t>
  </si>
  <si>
    <t>En el caso de sistemas de IA destinados a interactuar con personas físicas, deberán permitir a las personas físicas o a sus representantes oponerse a que se les apliquen dichos sistemas y solicitar reparación judicial contra las decisiones adoptadas por los sistemas de IA o los perjuicios causados por ellos, incluido su derecho a solicitar una explicación</t>
  </si>
  <si>
    <t>En el caso de sistemas de reconocimiento de emociones o de un sistema de categorización biométrica que no estén prohibidos, Se deberá informar de manera oportuna, clara e inteligible del funcionamiento del sistema a las personas físicas expuestas a él</t>
  </si>
  <si>
    <t>art 52.2 RIA</t>
  </si>
  <si>
    <t xml:space="preserve">En el caso de sistemas de reconocimiento de emociones o de un sistema de categorización biométrica que no estén prohibidos, se deberá obtener su consentimiento antes del tratamiento de sus datos biométricos y otros datos personales </t>
  </si>
  <si>
    <t>En el caso de sistemas de IA que generen o manipulen contenido de texto, sonido o visual que pueda inducir erróneamente a pensar que tal contenido es auténtico o verídico y que presenten representaciones de personas que parecen decir o hacer cosas que no han dicho ni hecho, sin su consentimiento (ultrafalsificación) - Se deberá hacer público de manera adecuada, oportuna, clara y visible que el contenido ha sido generado de forma artificial o manipulado, así como, cuando sea posible, el nombre de la persona física o jurídica que lo generó o manipuló. Por hacer público se entenderá etiquetar el contenido de un modo que informe que el contenido no es auténtico y que resulte claramente visible para su destinatario. Para etiquetar el contenido, los usuarios tendrán en cuenta el estado de la técnica generalmente reconocido y las normas y especificaciones armonizadas pertinentes</t>
  </si>
  <si>
    <t>art 52.3 RIA</t>
  </si>
  <si>
    <t>En el caso de que el contenido forme parte de una obra cinematográfica claramente creativa, satírica, artística o ficticia, de imágenes de videojuegos y de obras o formatos análogos, las obligaciones de transparencia se limitarán a revelar la existencia de tales contenidos generados o manipulados de una manera adecuada, clara y visible, que no obstaculice la presentación de la obra, y a revelar los derechos de autor aplicables, cuando proceda</t>
  </si>
  <si>
    <t>art 52.3 RIA bis</t>
  </si>
  <si>
    <t>Se deberá vigilar el funcionamiento del sistema de IA basándose en las instrucciones de uso y, cuando proceda, informarán a los proveedores. Cuando tengan motivos para considerar que utilizar el sistema de IA conforme a sus instrucciones de uso podría hacer que el sistema de IA presente un riesgo hacia los derechos fundamentales de las personas, informarán, sin demora indebida, al proveedor o distribuidor y a las autoridades nacionales de supervisión pertinentes y suspenderán el uso del sistema</t>
  </si>
  <si>
    <t>Si se detecta un incidente grave o un defecto de funcionamiento, informarán inmediatamente, primero, al proveedor y, después, al importador o distribuidor y a las autoridades nacionales de supervisión pertinentes, e interrumpirán el uso del sistema de IA</t>
  </si>
  <si>
    <t>art 29.4 RIA párrafo 1</t>
  </si>
  <si>
    <t>En el caso de sistemas de IA que tomen decisiones o ayuden a tomar decisiones relacionadas con personas físicas, se deberá informar a las personas físicas de que están expuestas a la utilización de los sistemas de IA de alto riesgo. Esta información incluirá la finalidad prevista y el tipo de decisiones que toman dichos sistemas</t>
  </si>
  <si>
    <t>art 29.6 bis RIA</t>
  </si>
  <si>
    <t xml:space="preserve">En el caso de sistemas de IA que tomen decisiones o ayuden a tomar decisiones relacionadas con personas físicas, se deberá informar a la persona física de su derecho a una explicación </t>
  </si>
  <si>
    <t>Antes de comercializar un sistema de IA se deberá verificar que el sistema esté acompañado de la documentación y las instrucciones de uso oportunas</t>
  </si>
  <si>
    <t>art 27.1 RIA</t>
  </si>
  <si>
    <t>Los distribuidores que consideren o tengan motivos para considerar, con arreglo a la información en su poder, que un sistema de IA de alto riesgo que han comercializado no es conforme con los requisitos a la adoptarán las medidas correctoras necesarias para que sea conforme, retirarlo del mercado o recuperarlo, o velarán por que el proveedor, el importador u otro operador pertinente, según proceda, adopte dichas medidas correctoras</t>
  </si>
  <si>
    <t>Antes de introducir un sistema de IA de alto riesgo en el mercado, se deberá asegurar que: (i) el proveedor de dicho sistema de IA ha llevado a cabo el procedimiento de evaluación de la conformidad pertinente ; (ii) el proveedor ha elaborado la documentación técnica pertinente; (iii) el sistema lleva el marcado de conformidad pertinente y va acompañado de la documentación y las instrucciones de uso necesarias; (iv) el proveedor ha designado a un representante autorizado, cuando proceda</t>
  </si>
  <si>
    <t>art 26.1 RIA</t>
  </si>
  <si>
    <t>Si el importador considera o tiene motivos para considerar que un sistema de IA de alto riesgo no es conforme a la regulación, o se ha falsificado, o se acompaña de documentación falsificada, no introducirá ese sistema en el mercado hasta que se haya conseguido esa conformidad</t>
  </si>
  <si>
    <t>Se deberá indicar su nombre, su nombre comercial registrado o marca registrada y su dirección de contacto en el sistema de IA de alto riesgo y en su embalaje o en la documentación que lo acompañe, cuando proceda</t>
  </si>
  <si>
    <t>art 26.3 RIA</t>
  </si>
  <si>
    <t>Se deberá asegurar , cuando proceda, de que las condiciones de almacenamiento o transporte no comprometen el cumplimiento de la regulación</t>
  </si>
  <si>
    <t>art 26.4 RIA</t>
  </si>
  <si>
    <t>Garantizar que exista un botón de parada o un procedimiento para abortar una operación de forma segura cuando sea necesario</t>
  </si>
  <si>
    <t>Dicho procedimiento debe abortar el proceso por completo, en parte, o delegar el control en un humano</t>
  </si>
  <si>
    <t>Se debe considerar cuidadosamente las opciones no algorítmicas que pueden usarse para lograr el mismo resultado que el sistema AI.</t>
  </si>
  <si>
    <t>UNESCO</t>
  </si>
  <si>
    <t>En caso de optar por un sistema AI de debería documentar las ventajas del sistema AI frente al sistema humano</t>
  </si>
  <si>
    <t>Establecer o seguir una guía, norma o estándar para realizar un procedimiento sistemático de verificación y validación del componente IA y de su comportamiento una vez integrado en el tratamiento al que da soporte</t>
  </si>
  <si>
    <t>Implementar los mecanismos de control y supervisión necesarios para garantizar que el componente IA cumple los objetivos y propósitos previstos con eficacia</t>
  </si>
  <si>
    <t>Definir y justifique las métricas y criterios respecto a los cuales se realizará las comprobaciones en el proceso de verificación y validación</t>
  </si>
  <si>
    <t>Definir una estrategia de pruebas y, asociada a ella, existe un plan de pruebas completo para evaluar la corrección del componente IA tanto desde el punto de vista estructural como funcional</t>
  </si>
  <si>
    <t>El personal involucrado en las tareas de verificación y validación del componente IA debe estar cualificado para realizar las comprobaciones necesarias de cara asegurar que el componente se ha construido correctamente y se comporta de la manera esperada</t>
  </si>
  <si>
    <t>El plan de pruebas de verificación debe incluir revisiones, y en su caso, inspecciones,  para detectar y corregir, de manera temprana, defectos en los requisitos, defectos de diseño, especificaciones incorrectas o desviaciones en el desarrollo respecto  de los criterios aplicables</t>
  </si>
  <si>
    <t>Asegurar la adecuada formación de los usuarios en la utilización del sistema de IA (incluyendo el entendimiento de que los riesgos de falta de precisión pueden impactar en los derechos y libertades de los interesados)</t>
  </si>
  <si>
    <t>Definir y documentar por escrito los roles y responsabilidades en todo el ciclo de vida de la solución de IA</t>
  </si>
  <si>
    <t>Proporcionar a los interesados el derecho a no ser objeto de una decisión basada únicamente en el tratamiento automatizado de datos (incluida la elaboración de perfiles)</t>
  </si>
  <si>
    <t>Asegurar que los usuarios que trabajan con el sistema de IA tienen autonomía suficiente para intervenir o impugnar las decisiones automatizadas en los casos en que sea necesaria dicha intervención</t>
  </si>
  <si>
    <r>
      <rPr>
        <b/>
        <sz val="9"/>
        <color rgb="FF00338D"/>
        <rFont val="Arial"/>
        <family val="2"/>
      </rPr>
      <t xml:space="preserve">Desarrollo y documentación del business case de la solución de IA en relación con los intereses de la compañía, reflejando el análisis de coste  beneficio de manera realista </t>
    </r>
    <r>
      <rPr>
        <i/>
        <sz val="9"/>
        <color rgb="FF00338D"/>
        <rFont val="Arial"/>
        <family val="2"/>
      </rPr>
      <t>(para aquellos sistemas de IA en un grado incipiente de madurez)</t>
    </r>
  </si>
  <si>
    <t>En caso de detectarse un riesgo para el derecho a la protección de datos de las personas, este se debe analizar de forma apropiada realizando una evaluación del impacto de tal riesgo ya sea a través de una EIPD/PIA o, en caso de no aplicar, según la ley o las políticas corporativas de Telefónica, a través de una análisis básico de riesgos</t>
  </si>
  <si>
    <t>Privacidad</t>
  </si>
  <si>
    <t>Realizada esta evaluación sobre el impacto en los derechos de los interesados, se deben determinar las medidas de mitigación y de contención de los riesgos detectados en cada momento.</t>
  </si>
  <si>
    <t>Cuando en un tratamiento que cumpla con los principios de protección de datos, en particular el de legitimidad, Telefónica identifica, tras la ejecución de la evaluación de impacto en protección de datos (EIPD), que existen riesgos que no haya podido evitar o mitigar suficientemente, deberá realizar una consulta a la Autoridad de Control (AEPD.</t>
  </si>
  <si>
    <t>Las medidas de control de riesgos se deberán evaluar de forma periódica pues los riesgos de base pueden cambiar o surgir nuevos riesgos que no se consideraron en la evaluación inicial de los mismos.</t>
  </si>
  <si>
    <t>En caso de detectarse un riesgos en torno a la propiedad intelectual derivados de la introducción, desarrollo, uso y establecimiento de un sistema de IA, se deberán aplicar las medidas necesarias para eliminar o contener al máximo los mismos. Por ejemplo, en el caso de un sistema generativo prever un sistema de control de la trazabilidad de las obras o elementos protegidos que puedan haberse usado en la generación de nuevo contenido derivado del propio sistema de IA o, incluso, prohibir el uso y la aplicación de obras fuera de Telefónica que no estén debidamente catalogadas o inventariadas (obras o elementos no corporativos).</t>
  </si>
  <si>
    <t>Propiedad Intelectual</t>
  </si>
  <si>
    <t>Previsión de programas de concienciación y de formación para los usuarios a los que apliquen o que afecten estas medidas</t>
  </si>
  <si>
    <t>Privacidad y propiedad intelectual</t>
  </si>
  <si>
    <t>Establecimiento de estructuras de control transversal que permitan el desarrollo de guías o principios internos de actuación (en desarrollo de posibles códigos o políticas corporativas), así como el seguimiento de la adopción y grado de eficacia de las medidas y actuaciones de control de riesgos adoptadas</t>
  </si>
  <si>
    <t>Memoria anual de actuaciones y grado de efectividad de las mismas</t>
  </si>
  <si>
    <t>Los terceros deben estar sujetos al mismo nivel de control, ya sea mediante la aplicación de los mismos controles reales (gestionados como personal propio) o mediante informes de verificación que brindan seguridad en los controles. (Por ejemplo, los procesos de IA realizados por los proveedores están incluidos en los ciclos de prueba de DR y BCP de la organización, sujetos a los mismos controles de seguridad, etc.).</t>
  </si>
  <si>
    <t>Tomar medidas para la protección de la propiedad intelectual. I.E, Un depósito de propiedad intelectual relevante (es decir, datos, código, modelos y 'datos de aprendizaje')  configurado y accesible internamente, asegurado y protegido con copias de seguridad periódicas</t>
  </si>
  <si>
    <t>Disponer de acuerdos formales de soporte y garantía del proveedor durante la fase posterior de puesta en marcha / estabilización para mantener una solución suficientemente efectiva para respaldar adecuadamente los procesos de negocio</t>
  </si>
  <si>
    <t>Incorporar un procedimiento para comprobar las garantías suficientes de los proveedores en el momento de la contratación y durante toda la vida del contrato</t>
  </si>
  <si>
    <t>Incorporar acuerdos formales de soporte y garantía del proveedor durante la fase posterior de puesta en marcha / estabilización para mantener una solución suficientemente efectiva para respaldar adecuadamente los procesos de negocio.</t>
  </si>
  <si>
    <t>Mantener y hacer seguimiento de los contratos y acuerdos de licencias de software empleados en el sistema de IA</t>
  </si>
  <si>
    <r>
      <rPr>
        <b/>
        <sz val="9"/>
        <color rgb="FF00338D"/>
        <rFont val="Arial"/>
        <family val="2"/>
      </rPr>
      <t xml:space="preserve">Desarrollo y comunicación de un procedimiento de consulta a la autoridad competente de control </t>
    </r>
    <r>
      <rPr>
        <i/>
        <sz val="9"/>
        <color rgb="FF00338D"/>
        <rFont val="Arial"/>
        <family val="2"/>
      </rPr>
      <t>(en los casos en que una iniciativa comporte un riesgo importante)</t>
    </r>
  </si>
  <si>
    <t>Informar de manera debida a los usuarios sujetos a toma de decisiones automáticas de tal condición</t>
  </si>
  <si>
    <t>Existe un procedimiento para dar soporte a la gestión de derechos de los interesados</t>
  </si>
  <si>
    <t>Monitorizar y revisar de forma periódica los servicios de los proveedores en relación con los niveles de servicio acordados, el grado de soporte, la resolución y gestión de incidentes y los niveles de continuidad</t>
  </si>
  <si>
    <t>PROBABILIDAD</t>
  </si>
  <si>
    <t>IMPACTO</t>
  </si>
  <si>
    <t>ESCALA</t>
  </si>
  <si>
    <t>Robustez, seguridad y protección.</t>
  </si>
  <si>
    <t>Individual</t>
  </si>
  <si>
    <t>Comunidad</t>
  </si>
  <si>
    <t>Social</t>
  </si>
  <si>
    <t>¿Los escenarios de riesgo en seguridad tecnológica llegados a materializarse para esta solución, tendrían un impacto individual, de comunidad o social?</t>
  </si>
  <si>
    <t>¿Los escenarios de riesgo en derechos fundamentales llegados a materializarse para esta solución, tendrían un impacto individual, de comunidad o social?</t>
  </si>
  <si>
    <t>¿Los escenarios en salud física y emocional llegados a materializarse para esta solución, tendrían un impacto individual, de comunidad o social?</t>
  </si>
  <si>
    <t>¿Los escenarios de impacto ambiental llegados a materializarse para esta solución, tendrían un impacto individual, de comunidad o social?</t>
  </si>
  <si>
    <t>¿Los escenarios de impacto social llegados a materializarse para esta solución, tendrían un impacto individual, de comunidad o social?</t>
  </si>
  <si>
    <t>¿Los escenarios de propiedad intelectual llegados a materializarse para esta solución, tendrían un impacto individual, de comunidad o social?</t>
  </si>
  <si>
    <t>EVALUACIÓN</t>
  </si>
  <si>
    <t>METRICAS</t>
  </si>
  <si>
    <t>¿Estan las metricas, datos de tests, validación y detalles usados durente el entrenamiento del sistema documentados y regitrados?</t>
  </si>
  <si>
    <t>MEDICIÓN</t>
  </si>
  <si>
    <t xml:space="preserve">¿Los criterios de garantía o rendimiento del sistema de IA
se miden y documentan cualitativa o cuantitativamente, y se demuestran para condiciones similares a las de produccion? </t>
  </si>
  <si>
    <t>¿Los riesgos asociados con la transparencia y la rendición de cuentas se han examinado y documentado?</t>
  </si>
  <si>
    <t>TRANSPARENCIA</t>
  </si>
  <si>
    <t>¿Es el sistema de IA suficientemente explicable e interpretable para  el usuario?</t>
  </si>
  <si>
    <t>MONITORIZACÓN</t>
  </si>
  <si>
    <t>¿Los escenarios de evaluación y documentación del sistema IA llegados a materializarse para esta solución, tendrían un impacto individual, de comunidad o social?</t>
  </si>
  <si>
    <t>EVALUACIÓN y CONFIANZA IA</t>
  </si>
  <si>
    <t>¿Existen procesos de retroalimentación para los usuarios finales para informar de problemas y apelar los resultados del sistema IA?</t>
  </si>
  <si>
    <t>RETROALIMENTACIÓN</t>
  </si>
  <si>
    <t xml:space="preserve">¿La medición de la confiabilidad del sistema IA en su ciclo de vida para validar si el sistema está funcionando consistentemente, se basan en aportes de expertos en el campo de la IA y estan documentados?
</t>
  </si>
  <si>
    <t>CONFIABILIDAD</t>
  </si>
  <si>
    <t>RISK</t>
  </si>
  <si>
    <t>Valores centrados en el ser humano y equidad- Probabilidad</t>
  </si>
  <si>
    <t>Valores centrados en el ser humano y equidad - Impacto</t>
  </si>
  <si>
    <t>Valores centrados en el ser humano y equidad - Valor Probabilidad</t>
  </si>
  <si>
    <t>Valores centrados en el ser humano y equidad - Escala</t>
  </si>
  <si>
    <t>Robustez y seguridad - Probabilidad</t>
  </si>
  <si>
    <t>Robustez y seguridad - Impacto</t>
  </si>
  <si>
    <t>Robustez y seguridad - Valor Probabilidad</t>
  </si>
  <si>
    <t>Robustez y seguridad - Valor Impacto</t>
  </si>
  <si>
    <t>Robustez y seguridad - Escala</t>
  </si>
  <si>
    <t>Responsabilidad - Probabilidad</t>
  </si>
  <si>
    <t>Responsabilidad - Impacto</t>
  </si>
  <si>
    <t>Responsabilidad - Valor Probabilidad</t>
  </si>
  <si>
    <t>Responsabilidad - Valor Impacto</t>
  </si>
  <si>
    <t>Responsabilidad - Escala</t>
  </si>
  <si>
    <t>Transparencia y explicabilidad - Probabilidad</t>
  </si>
  <si>
    <t>Transparencia y explicabilidad - Impacto</t>
  </si>
  <si>
    <t>Transparencia y explicabilidad - Valor Probabilidad</t>
  </si>
  <si>
    <t>Transparencia y explicabilidad - Valor Impacto</t>
  </si>
  <si>
    <t>Transparencia y explicabilidad - Escala</t>
  </si>
  <si>
    <t>Bienestar social y ambiental - Probabilidad</t>
  </si>
  <si>
    <t>Bienestar social y ambiental - Impacto</t>
  </si>
  <si>
    <t>Bienestar social y ambiental - Valor Probabilidad</t>
  </si>
  <si>
    <t>Bienestar social y ambiental - Valor Impacto</t>
  </si>
  <si>
    <t>Bienestar social y ambiental - Escala</t>
  </si>
  <si>
    <t>Privacidad y data governance - Probabilidad</t>
  </si>
  <si>
    <t>Privacidad y data governance - Impacto</t>
  </si>
  <si>
    <t>Privacidad y data governance - Valor Probabilidad</t>
  </si>
  <si>
    <t>Privacidad y data governance - Valor Impacto</t>
  </si>
  <si>
    <t>Privacidad y data governance - Escala</t>
  </si>
  <si>
    <t>EXPLICABILIDAD TECNOLÓGICA</t>
  </si>
  <si>
    <t>Valores centrados en el ser humano y equidad - Valor Impacto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</si>
</sst>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0.00_-;\-* #,##0.00_-;_-* &quot;-&quot;??_-;_-@_-"/>
  </numFmts>
  <fonts count="34" x14ac:knownFonts="1">
    <font>
      <sz val="11"/>
      <color theme="1"/>
      <name val="Calibri"/>
      <family val="2"/>
      <scheme val="minor"/>
    </font>
    <font>
      <b/>
      <sz val="10"/>
      <color theme="0"/>
      <name val="Univers 45 Light"/>
    </font>
    <font>
      <b/>
      <sz val="11"/>
      <color theme="1"/>
      <name val="Calibri"/>
      <family val="2"/>
      <scheme val="minor"/>
    </font>
    <font>
      <sz val="11"/>
      <color theme="0"/>
      <name val="Calibri"/>
      <family val="2"/>
      <scheme val="minor"/>
    </font>
    <font>
      <b/>
      <sz val="16"/>
      <color rgb="FFFFFFFF"/>
      <name val="KPMG Light"/>
      <family val="2"/>
    </font>
    <font>
      <sz val="10"/>
      <color theme="1"/>
      <name val="Univers 45 Light"/>
    </font>
    <font>
      <b/>
      <sz val="20"/>
      <color theme="0"/>
      <name val="KPMG Light"/>
      <family val="2"/>
    </font>
    <font>
      <sz val="11"/>
      <color theme="1"/>
      <name val="Arial"/>
      <family val="2"/>
    </font>
    <font>
      <b/>
      <sz val="11"/>
      <color rgb="FFFFFFFF"/>
      <name val="KPMG Light"/>
      <family val="2"/>
    </font>
    <font>
      <b/>
      <sz val="11"/>
      <color theme="0"/>
      <name val="KPMG Light"/>
      <family val="2"/>
    </font>
    <font>
      <b/>
      <sz val="20"/>
      <color rgb="FFFFFFFF"/>
      <name val="KPMG Light"/>
      <family val="2"/>
    </font>
    <font>
      <b/>
      <sz val="22"/>
      <color rgb="FFFFFFFF"/>
      <name val="KPMG Light"/>
      <family val="2"/>
    </font>
    <font>
      <b/>
      <sz val="28"/>
      <color theme="0"/>
      <name val="KPMG Light"/>
      <family val="2"/>
    </font>
    <font>
      <b/>
      <sz val="11"/>
      <color rgb="FF00338D"/>
      <name val="Univers 45 Light"/>
    </font>
    <font>
      <sz val="10"/>
      <color rgb="FF00338D"/>
      <name val="Univers 45 Light"/>
    </font>
    <font>
      <b/>
      <sz val="10"/>
      <color rgb="FF00338D"/>
      <name val="Univers 45 Light"/>
    </font>
    <font>
      <b/>
      <sz val="14"/>
      <color theme="1"/>
      <name val="Univers 45 Light"/>
    </font>
    <font>
      <b/>
      <sz val="11"/>
      <color theme="0"/>
      <name val="Calibri"/>
      <family val="2"/>
      <scheme val="minor"/>
    </font>
    <font>
      <b/>
      <sz val="16"/>
      <color rgb="FF00338D"/>
      <name val="KPMG Light"/>
      <family val="2"/>
    </font>
    <font>
      <sz val="12"/>
      <color rgb="FF00338D"/>
      <name val="Univers 45 Light"/>
    </font>
    <font>
      <sz val="8"/>
      <name val="Calibri"/>
      <family val="2"/>
      <scheme val="minor"/>
    </font>
    <font>
      <sz val="11"/>
      <color rgb="FFC00000"/>
      <name val="Univers 45 Light"/>
    </font>
    <font>
      <sz val="12"/>
      <color theme="0"/>
      <name val="Calibri"/>
      <family val="2"/>
      <scheme val="minor"/>
    </font>
    <font>
      <b/>
      <sz val="14"/>
      <color theme="0"/>
      <name val="Univers 45 Light"/>
    </font>
    <font>
      <sz val="11"/>
      <color rgb="FF00338D"/>
      <name val="Univers 45 Light"/>
    </font>
    <font>
      <i/>
      <sz val="11"/>
      <color rgb="FF00338D"/>
      <name val="Univers 45 Light"/>
    </font>
    <font>
      <sz val="11"/>
      <color rgb="FF002060"/>
      <name val="Univers 45 Light"/>
    </font>
    <font>
      <sz val="10"/>
      <name val="Calibri Light"/>
      <family val="2"/>
      <scheme val="major"/>
    </font>
    <font>
      <b/>
      <sz val="9"/>
      <color rgb="FF00338D"/>
      <name val="Arial"/>
      <family val="2"/>
    </font>
    <font>
      <b/>
      <sz val="9"/>
      <color rgb="FFFD349C"/>
      <name val="Arial"/>
      <family val="2"/>
    </font>
    <font>
      <sz val="11"/>
      <color theme="1"/>
      <name val="Calibri"/>
      <family val="2"/>
      <scheme val="minor"/>
    </font>
    <font>
      <i/>
      <sz val="9"/>
      <color rgb="FF00338D"/>
      <name val="Arial"/>
      <family val="2"/>
    </font>
    <font>
      <sz val="9"/>
      <color rgb="FF00338D"/>
      <name val="Arial"/>
      <family val="2"/>
    </font>
    <font>
      <b/>
      <sz val="14"/>
      <color rgb="FFFF0000"/>
      <name val="Univers 45 Light"/>
    </font>
  </fonts>
  <fills count="38">
    <fill>
      <patternFill patternType="none"/>
    </fill>
    <fill>
      <patternFill patternType="gray125"/>
    </fill>
    <fill>
      <patternFill patternType="solid">
        <fgColor theme="0"/>
        <bgColor indexed="64"/>
      </patternFill>
    </fill>
    <fill>
      <patternFill patternType="solid">
        <fgColor theme="4"/>
      </patternFill>
    </fill>
    <fill>
      <patternFill patternType="solid">
        <fgColor rgb="FF6D2077"/>
        <bgColor rgb="FF000000"/>
      </patternFill>
    </fill>
    <fill>
      <patternFill patternType="solid">
        <fgColor rgb="FF0091DA"/>
        <bgColor rgb="FF000000"/>
      </patternFill>
    </fill>
    <fill>
      <patternFill patternType="solid">
        <fgColor rgb="FF00338D"/>
        <bgColor rgb="FF000000"/>
      </patternFill>
    </fill>
    <fill>
      <patternFill patternType="solid">
        <fgColor theme="0" tint="-4.9989318521683403E-2"/>
        <bgColor indexed="64"/>
      </patternFill>
    </fill>
    <fill>
      <patternFill patternType="solid">
        <fgColor theme="0"/>
        <bgColor rgb="FF000000"/>
      </patternFill>
    </fill>
    <fill>
      <patternFill patternType="solid">
        <fgColor rgb="FF00338D"/>
        <bgColor indexed="64"/>
      </patternFill>
    </fill>
    <fill>
      <patternFill patternType="solid">
        <fgColor rgb="FFC6007E"/>
        <bgColor indexed="64"/>
      </patternFill>
    </fill>
    <fill>
      <patternFill patternType="solid">
        <fgColor rgb="FFEAAA00"/>
        <bgColor indexed="64"/>
      </patternFill>
    </fill>
    <fill>
      <patternFill patternType="solid">
        <fgColor rgb="FF43B02A"/>
        <bgColor indexed="64"/>
      </patternFill>
    </fill>
    <fill>
      <patternFill patternType="solid">
        <fgColor rgb="FF92D050"/>
        <bgColor indexed="64"/>
      </patternFill>
    </fill>
    <fill>
      <patternFill patternType="solid">
        <fgColor theme="4"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000000"/>
        <bgColor indexed="64"/>
      </patternFill>
    </fill>
    <fill>
      <patternFill patternType="solid">
        <fgColor theme="8" tint="0.59999389629810485"/>
        <bgColor indexed="64"/>
      </patternFill>
    </fill>
    <fill>
      <patternFill patternType="solid">
        <fgColor rgb="FF7030A0"/>
        <bgColor indexed="64"/>
      </patternFill>
    </fill>
    <fill>
      <patternFill patternType="solid">
        <fgColor theme="4"/>
        <bgColor indexed="64"/>
      </patternFill>
    </fill>
    <fill>
      <patternFill patternType="solid">
        <fgColor theme="0" tint="-0.249977111117893"/>
        <bgColor indexed="64"/>
      </patternFill>
    </fill>
    <fill>
      <patternFill patternType="solid">
        <fgColor theme="1" tint="4.9989318521683403E-2"/>
        <bgColor indexed="64"/>
      </patternFill>
    </fill>
    <fill>
      <patternFill patternType="solid">
        <fgColor rgb="FFCC3399"/>
        <bgColor indexed="64"/>
      </patternFill>
    </fill>
    <fill>
      <patternFill patternType="solid">
        <fgColor rgb="FFFFC000"/>
        <bgColor indexed="64"/>
      </patternFill>
    </fill>
    <fill>
      <patternFill patternType="solid">
        <fgColor theme="5" tint="0.39997558519241921"/>
        <bgColor rgb="FF000000"/>
      </patternFill>
    </fill>
    <fill>
      <patternFill patternType="solid">
        <fgColor rgb="FF92D050"/>
        <bgColor rgb="FF000000"/>
      </patternFill>
    </fill>
    <fill>
      <patternFill patternType="solid">
        <fgColor theme="8" tint="0.39997558519241921"/>
        <bgColor rgb="FF000000"/>
      </patternFill>
    </fill>
    <fill>
      <patternFill patternType="solid">
        <fgColor rgb="FFFFC000"/>
        <bgColor rgb="FF000000"/>
      </patternFill>
    </fill>
    <fill>
      <patternFill patternType="solid">
        <fgColor rgb="FFD00A6D"/>
        <bgColor rgb="FF000000"/>
      </patternFill>
    </fill>
    <fill>
      <patternFill patternType="solid">
        <fgColor theme="5" tint="-0.249977111117893"/>
        <bgColor indexed="64"/>
      </patternFill>
    </fill>
    <fill>
      <patternFill patternType="solid">
        <fgColor rgb="FFFF00FF"/>
        <bgColor rgb="FF000000"/>
      </patternFill>
    </fill>
    <fill>
      <patternFill patternType="solid">
        <fgColor rgb="FFFF00FF"/>
        <bgColor indexed="64"/>
      </patternFill>
    </fill>
    <fill>
      <patternFill patternType="solid">
        <fgColor rgb="FF3D09D1"/>
        <bgColor rgb="FF000000"/>
      </patternFill>
    </fill>
    <fill>
      <patternFill patternType="solid">
        <fgColor rgb="FFD00A6D"/>
        <bgColor indexed="64"/>
      </patternFill>
    </fill>
    <fill>
      <patternFill patternType="solid">
        <fgColor rgb="FF3D09D1"/>
        <bgColor indexed="64"/>
      </patternFill>
    </fill>
    <fill>
      <patternFill patternType="solid">
        <fgColor rgb="FFFFFF00"/>
        <bgColor indexed="64"/>
      </patternFill>
    </fill>
    <fill>
      <patternFill patternType="solid">
        <fgColor theme="3" tint="0.59999389629810485"/>
        <bgColor indexed="64"/>
      </patternFill>
    </fill>
  </fills>
  <borders count="2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00338D"/>
      </left>
      <right style="thin">
        <color rgb="FF00338D"/>
      </right>
      <top style="thin">
        <color rgb="FF00338D"/>
      </top>
      <bottom style="thin">
        <color rgb="FF00338D"/>
      </bottom>
      <diagonal/>
    </border>
    <border>
      <left style="thin">
        <color rgb="FF9D9375"/>
      </left>
      <right style="thin">
        <color rgb="FF9D9375"/>
      </right>
      <top style="thin">
        <color rgb="FF9D9375"/>
      </top>
      <bottom style="thin">
        <color rgb="FF9D9375"/>
      </bottom>
      <diagonal/>
    </border>
    <border>
      <left style="thin">
        <color rgb="FF00338D"/>
      </left>
      <right style="thin">
        <color rgb="FF00338D"/>
      </right>
      <top style="thin">
        <color rgb="FF00338D"/>
      </top>
      <bottom/>
      <diagonal/>
    </border>
    <border>
      <left style="thin">
        <color rgb="FF00338D"/>
      </left>
      <right style="thin">
        <color rgb="FF00338D"/>
      </right>
      <top/>
      <bottom/>
      <diagonal/>
    </border>
    <border>
      <left style="thin">
        <color rgb="FF00338D"/>
      </left>
      <right style="thin">
        <color rgb="FF00338D"/>
      </right>
      <top/>
      <bottom style="thin">
        <color rgb="FF00338D"/>
      </bottom>
      <diagonal/>
    </border>
    <border>
      <left/>
      <right/>
      <top/>
      <bottom style="thin">
        <color rgb="FF00338D"/>
      </bottom>
      <diagonal/>
    </border>
    <border>
      <left style="thin">
        <color rgb="FF00338D"/>
      </left>
      <right/>
      <top style="thin">
        <color rgb="FF00338D"/>
      </top>
      <bottom style="thin">
        <color rgb="FF00338D"/>
      </bottom>
      <diagonal/>
    </border>
    <border>
      <left/>
      <right style="thin">
        <color rgb="FF00338D"/>
      </right>
      <top style="thin">
        <color rgb="FF00338D"/>
      </top>
      <bottom style="thin">
        <color rgb="FF00338D"/>
      </bottom>
      <diagonal/>
    </border>
    <border>
      <left/>
      <right/>
      <top style="thin">
        <color rgb="FF00338D"/>
      </top>
      <bottom style="thin">
        <color rgb="FF00338D"/>
      </bottom>
      <diagonal/>
    </border>
    <border>
      <left/>
      <right style="thin">
        <color rgb="FF00338D"/>
      </right>
      <top/>
      <bottom style="thin">
        <color rgb="FF00338D"/>
      </bottom>
      <diagonal/>
    </border>
    <border>
      <left style="thin">
        <color rgb="FF00338D"/>
      </left>
      <right style="thin">
        <color rgb="FF00338D"/>
      </right>
      <top style="thin">
        <color indexed="64"/>
      </top>
      <bottom/>
      <diagonal/>
    </border>
    <border>
      <left style="thin">
        <color indexed="64"/>
      </left>
      <right style="thin">
        <color indexed="64"/>
      </right>
      <top style="thin">
        <color indexed="64"/>
      </top>
      <bottom style="thin">
        <color indexed="64"/>
      </bottom>
      <diagonal/>
    </border>
    <border>
      <left/>
      <right style="thin">
        <color rgb="FF00338D"/>
      </right>
      <top style="thin">
        <color rgb="FF00338D"/>
      </top>
      <bottom/>
      <diagonal/>
    </border>
    <border>
      <left style="thin">
        <color rgb="FF000000"/>
      </left>
      <right style="thin">
        <color rgb="FF000000"/>
      </right>
      <top style="thin">
        <color rgb="FF000000"/>
      </top>
      <bottom style="thin">
        <color rgb="FF000000"/>
      </bottom>
      <diagonal/>
    </border>
    <border>
      <left style="thin">
        <color rgb="FF00338D"/>
      </left>
      <right/>
      <top style="thin">
        <color rgb="FF00338D"/>
      </top>
      <bottom/>
      <diagonal/>
    </border>
    <border>
      <left style="thin">
        <color rgb="FF000000"/>
      </left>
      <right style="thin">
        <color rgb="FF000000"/>
      </right>
      <top style="thin">
        <color rgb="FF000000"/>
      </top>
      <bottom/>
      <diagonal/>
    </border>
    <border>
      <left style="thin">
        <color rgb="FF00338D"/>
      </left>
      <right/>
      <top/>
      <bottom style="thin">
        <color rgb="FF00338D"/>
      </bottom>
      <diagonal/>
    </border>
    <border>
      <left style="thin">
        <color rgb="FF000000"/>
      </left>
      <right/>
      <top style="thin">
        <color rgb="FF000000"/>
      </top>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s>
  <cellStyleXfs count="3">
    <xf numFmtId="0" fontId="0" fillId="0" borderId="0"/>
    <xf numFmtId="0" fontId="3" fillId="3" borderId="0" applyNumberFormat="0" applyBorder="0" applyAlignment="0" applyProtection="0"/>
    <xf numFmtId="43" fontId="30" fillId="0" borderId="0" applyFont="0" applyFill="0" applyBorder="0" applyAlignment="0" applyProtection="0"/>
  </cellStyleXfs>
  <cellXfs count="195">
    <xf numFmtId="0" fontId="0" fillId="0" borderId="0" xfId="0"/>
    <xf numFmtId="0" fontId="0" fillId="2" borderId="0" xfId="0" applyFill="1"/>
    <xf numFmtId="0" fontId="2" fillId="0" borderId="0" xfId="0" applyFont="1"/>
    <xf numFmtId="0" fontId="0" fillId="0" borderId="0" xfId="0" applyAlignment="1">
      <alignment horizontal="center" vertical="center"/>
    </xf>
    <xf numFmtId="0" fontId="0" fillId="0" borderId="0" xfId="0" applyAlignment="1">
      <alignment wrapText="1"/>
    </xf>
    <xf numFmtId="0" fontId="4" fillId="5" borderId="0" xfId="1" applyFont="1" applyFill="1" applyBorder="1" applyAlignment="1">
      <alignment horizontal="center" vertical="center" wrapText="1"/>
    </xf>
    <xf numFmtId="0" fontId="7" fillId="2" borderId="0" xfId="0" applyFont="1" applyFill="1"/>
    <xf numFmtId="0" fontId="6" fillId="8" borderId="0" xfId="1" applyFont="1" applyFill="1" applyBorder="1" applyAlignment="1">
      <alignment vertical="center" wrapText="1"/>
    </xf>
    <xf numFmtId="0" fontId="9" fillId="4" borderId="1" xfId="1" applyFont="1" applyFill="1" applyBorder="1" applyAlignment="1">
      <alignment horizontal="center" vertical="center" wrapText="1"/>
    </xf>
    <xf numFmtId="0" fontId="5" fillId="2" borderId="0" xfId="0" applyFont="1" applyFill="1"/>
    <xf numFmtId="0" fontId="0" fillId="0" borderId="0" xfId="0" applyAlignment="1">
      <alignment horizontal="center" wrapText="1"/>
    </xf>
    <xf numFmtId="0" fontId="4" fillId="6" borderId="0" xfId="1" applyFont="1" applyFill="1" applyBorder="1" applyAlignment="1">
      <alignment horizontal="center" vertical="center" wrapText="1"/>
    </xf>
    <xf numFmtId="0" fontId="0" fillId="0" borderId="0" xfId="0" applyAlignment="1">
      <alignment horizontal="center"/>
    </xf>
    <xf numFmtId="0" fontId="1" fillId="10" borderId="1" xfId="0" applyFont="1" applyFill="1" applyBorder="1" applyAlignment="1">
      <alignment horizontal="center" vertical="center"/>
    </xf>
    <xf numFmtId="0" fontId="1" fillId="11" borderId="1" xfId="0" applyFont="1" applyFill="1" applyBorder="1" applyAlignment="1">
      <alignment horizontal="center" vertical="center"/>
    </xf>
    <xf numFmtId="0" fontId="1" fillId="12" borderId="1" xfId="0" applyFont="1" applyFill="1" applyBorder="1" applyAlignment="1">
      <alignment horizontal="center" vertical="center"/>
    </xf>
    <xf numFmtId="0" fontId="14" fillId="2" borderId="2" xfId="0" applyFont="1" applyFill="1" applyBorder="1" applyAlignment="1">
      <alignment horizontal="center" vertical="center"/>
    </xf>
    <xf numFmtId="0" fontId="14" fillId="2" borderId="2" xfId="0" applyFont="1" applyFill="1" applyBorder="1"/>
    <xf numFmtId="0" fontId="14" fillId="0" borderId="2" xfId="0" applyFont="1" applyBorder="1" applyAlignment="1">
      <alignment horizontal="left" vertical="center" wrapText="1"/>
    </xf>
    <xf numFmtId="0" fontId="14" fillId="2" borderId="2" xfId="0" applyFont="1" applyFill="1" applyBorder="1" applyAlignment="1">
      <alignment horizontal="left" vertical="center"/>
    </xf>
    <xf numFmtId="17" fontId="14" fillId="2" borderId="2" xfId="0" applyNumberFormat="1" applyFont="1" applyFill="1" applyBorder="1" applyAlignment="1">
      <alignment horizontal="center" vertical="center"/>
    </xf>
    <xf numFmtId="0" fontId="14" fillId="2" borderId="2" xfId="0" applyFont="1" applyFill="1" applyBorder="1" applyAlignment="1">
      <alignment horizontal="right"/>
    </xf>
    <xf numFmtId="0" fontId="14" fillId="2" borderId="2" xfId="0" applyFont="1" applyFill="1" applyBorder="1" applyAlignment="1">
      <alignment horizontal="right" vertical="center"/>
    </xf>
    <xf numFmtId="17" fontId="14" fillId="2" borderId="2" xfId="0" applyNumberFormat="1" applyFont="1" applyFill="1" applyBorder="1" applyAlignment="1">
      <alignment horizontal="right" vertical="center"/>
    </xf>
    <xf numFmtId="17" fontId="14" fillId="2" borderId="2" xfId="0" applyNumberFormat="1" applyFont="1" applyFill="1" applyBorder="1" applyAlignment="1">
      <alignment horizontal="right"/>
    </xf>
    <xf numFmtId="0" fontId="8" fillId="6" borderId="3" xfId="1" applyFont="1" applyFill="1" applyBorder="1" applyAlignment="1">
      <alignment horizontal="left" vertical="center" wrapText="1"/>
    </xf>
    <xf numFmtId="0" fontId="8" fillId="6" borderId="3" xfId="1" applyFont="1" applyFill="1" applyBorder="1" applyAlignment="1">
      <alignment horizontal="left" vertical="top" wrapText="1"/>
    </xf>
    <xf numFmtId="0" fontId="16" fillId="0" borderId="0" xfId="0" applyFont="1" applyAlignment="1">
      <alignment horizontal="center" vertical="center" wrapText="1"/>
    </xf>
    <xf numFmtId="0" fontId="6" fillId="4" borderId="0" xfId="1" applyFont="1" applyFill="1" applyBorder="1" applyAlignment="1">
      <alignment horizontal="center" vertical="center" wrapText="1"/>
    </xf>
    <xf numFmtId="0" fontId="12" fillId="4" borderId="0" xfId="1" applyFont="1" applyFill="1" applyBorder="1" applyAlignment="1">
      <alignment horizontal="center" vertical="center" wrapText="1"/>
    </xf>
    <xf numFmtId="0" fontId="18" fillId="0" borderId="2" xfId="0" applyFont="1" applyBorder="1" applyAlignment="1">
      <alignment horizontal="center" vertical="center" wrapText="1"/>
    </xf>
    <xf numFmtId="0" fontId="19" fillId="0" borderId="2" xfId="0" applyFont="1" applyBorder="1" applyAlignment="1">
      <alignment horizontal="left" vertical="center" wrapText="1"/>
    </xf>
    <xf numFmtId="0" fontId="1" fillId="13" borderId="1" xfId="0" applyFont="1" applyFill="1" applyBorder="1" applyAlignment="1">
      <alignment horizontal="center" vertical="center"/>
    </xf>
    <xf numFmtId="0" fontId="1" fillId="14" borderId="1" xfId="0" applyFont="1" applyFill="1" applyBorder="1" applyAlignment="1">
      <alignment horizontal="center" vertical="center"/>
    </xf>
    <xf numFmtId="0" fontId="1" fillId="15" borderId="1" xfId="0" applyFont="1" applyFill="1" applyBorder="1" applyAlignment="1">
      <alignment horizontal="center" vertical="center"/>
    </xf>
    <xf numFmtId="0" fontId="1" fillId="17" borderId="1" xfId="0" applyFont="1" applyFill="1" applyBorder="1" applyAlignment="1">
      <alignment horizontal="center" vertical="center"/>
    </xf>
    <xf numFmtId="0" fontId="1" fillId="18" borderId="1" xfId="0" applyFont="1" applyFill="1" applyBorder="1" applyAlignment="1">
      <alignment horizontal="center" vertical="center"/>
    </xf>
    <xf numFmtId="0" fontId="1" fillId="19" borderId="1" xfId="0" applyFont="1" applyFill="1" applyBorder="1" applyAlignment="1">
      <alignment horizontal="center" vertical="center"/>
    </xf>
    <xf numFmtId="0" fontId="1" fillId="20" borderId="1" xfId="0" applyFont="1" applyFill="1" applyBorder="1" applyAlignment="1">
      <alignment horizontal="center" vertical="center"/>
    </xf>
    <xf numFmtId="0" fontId="22" fillId="18" borderId="0" xfId="0" applyFont="1" applyFill="1" applyAlignment="1">
      <alignment horizontal="center"/>
    </xf>
    <xf numFmtId="0" fontId="22" fillId="20" borderId="0" xfId="0" applyFont="1" applyFill="1" applyAlignment="1">
      <alignment horizontal="center"/>
    </xf>
    <xf numFmtId="0" fontId="22" fillId="11" borderId="0" xfId="0" applyFont="1" applyFill="1" applyAlignment="1">
      <alignment horizontal="center"/>
    </xf>
    <xf numFmtId="0" fontId="22" fillId="10" borderId="0" xfId="0" applyFont="1" applyFill="1" applyAlignment="1">
      <alignment horizontal="center"/>
    </xf>
    <xf numFmtId="0" fontId="23" fillId="16" borderId="0" xfId="0" applyFont="1" applyFill="1" applyAlignment="1">
      <alignment horizontal="center"/>
    </xf>
    <xf numFmtId="0" fontId="23" fillId="18" borderId="0" xfId="0" applyFont="1" applyFill="1" applyAlignment="1">
      <alignment horizontal="center"/>
    </xf>
    <xf numFmtId="0" fontId="23" fillId="20" borderId="0" xfId="0" applyFont="1" applyFill="1" applyAlignment="1">
      <alignment horizontal="center"/>
    </xf>
    <xf numFmtId="0" fontId="23" fillId="11" borderId="0" xfId="0" applyFont="1" applyFill="1" applyAlignment="1">
      <alignment horizontal="center"/>
    </xf>
    <xf numFmtId="0" fontId="23" fillId="10" borderId="0" xfId="0" applyFont="1" applyFill="1" applyAlignment="1">
      <alignment horizontal="center"/>
    </xf>
    <xf numFmtId="0" fontId="1" fillId="22" borderId="1" xfId="0" applyFont="1" applyFill="1" applyBorder="1" applyAlignment="1">
      <alignment horizontal="center" vertical="center"/>
    </xf>
    <xf numFmtId="0" fontId="1" fillId="15" borderId="1" xfId="0" applyFont="1" applyFill="1" applyBorder="1" applyAlignment="1">
      <alignment horizontal="center" vertical="center" wrapText="1"/>
    </xf>
    <xf numFmtId="0" fontId="1" fillId="16" borderId="1" xfId="0" applyFont="1" applyFill="1" applyBorder="1" applyAlignment="1">
      <alignment horizontal="center" vertical="center"/>
    </xf>
    <xf numFmtId="0" fontId="1" fillId="23" borderId="1" xfId="0" applyFont="1" applyFill="1" applyBorder="1" applyAlignment="1">
      <alignment horizontal="center" vertical="center"/>
    </xf>
    <xf numFmtId="0" fontId="1" fillId="24" borderId="1" xfId="0" applyFont="1" applyFill="1" applyBorder="1" applyAlignment="1">
      <alignment horizontal="center" vertical="center"/>
    </xf>
    <xf numFmtId="0" fontId="22" fillId="12" borderId="0" xfId="0" applyFont="1" applyFill="1" applyAlignment="1">
      <alignment horizontal="center"/>
    </xf>
    <xf numFmtId="0" fontId="17" fillId="10" borderId="0" xfId="0" applyFont="1" applyFill="1"/>
    <xf numFmtId="0" fontId="17" fillId="12" borderId="0" xfId="0" applyFont="1" applyFill="1"/>
    <xf numFmtId="0" fontId="0" fillId="15" borderId="0" xfId="0" applyFill="1" applyAlignment="1">
      <alignment horizontal="center"/>
    </xf>
    <xf numFmtId="0" fontId="0" fillId="16" borderId="0" xfId="0" applyFill="1" applyAlignment="1">
      <alignment horizontal="center"/>
    </xf>
    <xf numFmtId="0" fontId="24" fillId="0" borderId="8" xfId="0" applyFont="1" applyBorder="1" applyAlignment="1" applyProtection="1">
      <alignment vertical="center" wrapText="1" readingOrder="1"/>
      <protection locked="0"/>
    </xf>
    <xf numFmtId="0" fontId="24" fillId="0" borderId="2" xfId="0" applyFont="1" applyBorder="1" applyAlignment="1" applyProtection="1">
      <alignment vertical="center" wrapText="1" readingOrder="1"/>
      <protection locked="0"/>
    </xf>
    <xf numFmtId="0" fontId="13" fillId="2" borderId="8" xfId="0" applyFont="1" applyFill="1" applyBorder="1" applyAlignment="1" applyProtection="1">
      <alignment vertical="center" wrapText="1" readingOrder="1"/>
      <protection locked="0"/>
    </xf>
    <xf numFmtId="0" fontId="24" fillId="2" borderId="8" xfId="0" quotePrefix="1" applyFont="1" applyFill="1" applyBorder="1" applyAlignment="1" applyProtection="1">
      <alignment horizontal="justify" vertical="center" wrapText="1" readingOrder="1"/>
      <protection locked="0"/>
    </xf>
    <xf numFmtId="0" fontId="24" fillId="0" borderId="8" xfId="0" quotePrefix="1" applyFont="1" applyBorder="1" applyAlignment="1" applyProtection="1">
      <alignment vertical="center" wrapText="1" readingOrder="1"/>
      <protection locked="0"/>
    </xf>
    <xf numFmtId="0" fontId="24" fillId="0" borderId="2" xfId="0" applyFont="1" applyBorder="1" applyAlignment="1" applyProtection="1">
      <alignment horizontal="center" vertical="center" readingOrder="1"/>
      <protection locked="0"/>
    </xf>
    <xf numFmtId="0" fontId="24" fillId="0" borderId="2" xfId="0" applyFont="1" applyBorder="1" applyAlignment="1" applyProtection="1">
      <alignment horizontal="center" vertical="center" wrapText="1" readingOrder="1"/>
      <protection locked="0"/>
    </xf>
    <xf numFmtId="0" fontId="24" fillId="21" borderId="8" xfId="0" applyFont="1" applyFill="1" applyBorder="1" applyAlignment="1" applyProtection="1">
      <alignment vertical="center" wrapText="1" readingOrder="1"/>
      <protection locked="0"/>
    </xf>
    <xf numFmtId="0" fontId="13" fillId="0" borderId="9" xfId="0" applyFont="1" applyBorder="1" applyAlignment="1">
      <alignment horizontal="center" vertical="center" readingOrder="1"/>
    </xf>
    <xf numFmtId="0" fontId="24" fillId="0" borderId="9" xfId="0" applyFont="1" applyBorder="1" applyAlignment="1" applyProtection="1">
      <alignment horizontal="center" vertical="center" readingOrder="1"/>
      <protection locked="0"/>
    </xf>
    <xf numFmtId="0" fontId="24" fillId="2" borderId="2" xfId="0" applyFont="1" applyFill="1" applyBorder="1" applyAlignment="1" applyProtection="1">
      <alignment horizontal="center" vertical="center" wrapText="1" readingOrder="1"/>
      <protection locked="0"/>
    </xf>
    <xf numFmtId="0" fontId="24" fillId="0" borderId="2" xfId="0" applyFont="1" applyBorder="1" applyAlignment="1" applyProtection="1">
      <alignment horizontal="justify" vertical="center" wrapText="1" readingOrder="1"/>
      <protection locked="0"/>
    </xf>
    <xf numFmtId="0" fontId="24" fillId="2" borderId="2" xfId="0" applyFont="1" applyFill="1" applyBorder="1" applyAlignment="1" applyProtection="1">
      <alignment horizontal="center" vertical="center" wrapText="1"/>
      <protection locked="0"/>
    </xf>
    <xf numFmtId="0" fontId="24" fillId="2" borderId="2" xfId="0" applyFont="1" applyFill="1" applyBorder="1" applyAlignment="1" applyProtection="1">
      <alignment horizontal="justify" vertical="center" wrapText="1" readingOrder="1"/>
      <protection locked="0"/>
    </xf>
    <xf numFmtId="0" fontId="26" fillId="0" borderId="2" xfId="0" applyFont="1" applyBorder="1" applyAlignment="1" applyProtection="1">
      <alignment horizontal="center" vertical="center" wrapText="1" readingOrder="1"/>
      <protection locked="0"/>
    </xf>
    <xf numFmtId="0" fontId="24" fillId="2" borderId="8" xfId="0" applyFont="1" applyFill="1" applyBorder="1" applyAlignment="1" applyProtection="1">
      <alignment vertical="center" wrapText="1" readingOrder="1"/>
      <protection locked="0"/>
    </xf>
    <xf numFmtId="0" fontId="24" fillId="2" borderId="8" xfId="0" applyFont="1" applyFill="1" applyBorder="1" applyAlignment="1" applyProtection="1">
      <alignment horizontal="justify" vertical="center" wrapText="1" readingOrder="1"/>
      <protection locked="0"/>
    </xf>
    <xf numFmtId="0" fontId="10" fillId="25" borderId="0" xfId="1" applyFont="1" applyFill="1" applyBorder="1" applyAlignment="1">
      <alignment horizontal="center" vertical="center" wrapText="1"/>
    </xf>
    <xf numFmtId="0" fontId="10" fillId="26" borderId="0" xfId="1" applyFont="1" applyFill="1" applyBorder="1" applyAlignment="1">
      <alignment horizontal="center" vertical="center" wrapText="1"/>
    </xf>
    <xf numFmtId="0" fontId="10" fillId="27" borderId="0" xfId="1" applyFont="1" applyFill="1" applyBorder="1" applyAlignment="1">
      <alignment horizontal="center" vertical="center" wrapText="1"/>
    </xf>
    <xf numFmtId="0" fontId="10" fillId="29" borderId="0" xfId="1" applyFont="1" applyFill="1" applyBorder="1" applyAlignment="1">
      <alignment horizontal="center" vertical="center" wrapText="1"/>
    </xf>
    <xf numFmtId="0" fontId="24" fillId="2" borderId="13" xfId="0" quotePrefix="1" applyFont="1" applyFill="1" applyBorder="1" applyAlignment="1" applyProtection="1">
      <alignment horizontal="justify" vertical="center" wrapText="1" readingOrder="1"/>
      <protection locked="0"/>
    </xf>
    <xf numFmtId="0" fontId="24" fillId="0" borderId="10" xfId="0" applyFont="1" applyBorder="1" applyAlignment="1">
      <alignment horizontal="center" vertical="center" readingOrder="1"/>
    </xf>
    <xf numFmtId="0" fontId="10" fillId="5" borderId="0" xfId="1" applyFont="1" applyFill="1" applyBorder="1" applyAlignment="1">
      <alignment horizontal="center" vertical="center" wrapText="1"/>
    </xf>
    <xf numFmtId="0" fontId="12" fillId="4" borderId="0" xfId="1" applyFont="1" applyFill="1" applyBorder="1" applyAlignment="1">
      <alignment vertical="center" wrapText="1"/>
    </xf>
    <xf numFmtId="0" fontId="24" fillId="2" borderId="4" xfId="0" applyFont="1" applyFill="1" applyBorder="1" applyAlignment="1" applyProtection="1">
      <alignment horizontal="center" vertical="center" wrapText="1" readingOrder="1"/>
      <protection locked="0"/>
    </xf>
    <xf numFmtId="0" fontId="24" fillId="0" borderId="4" xfId="0" applyFont="1" applyBorder="1" applyAlignment="1" applyProtection="1">
      <alignment horizontal="center" vertical="center" wrapText="1" readingOrder="1"/>
      <protection locked="0"/>
    </xf>
    <xf numFmtId="0" fontId="6" fillId="32" borderId="0" xfId="0" applyFont="1" applyFill="1" applyAlignment="1">
      <alignment horizontal="center" vertical="center" wrapText="1"/>
    </xf>
    <xf numFmtId="0" fontId="10" fillId="33" borderId="0" xfId="1" applyFont="1" applyFill="1" applyBorder="1" applyAlignment="1">
      <alignment horizontal="center" vertical="center" wrapText="1"/>
    </xf>
    <xf numFmtId="0" fontId="22" fillId="24" borderId="0" xfId="0" applyFont="1" applyFill="1" applyAlignment="1">
      <alignment horizontal="center"/>
    </xf>
    <xf numFmtId="0" fontId="22" fillId="34" borderId="0" xfId="0" applyFont="1" applyFill="1" applyAlignment="1">
      <alignment horizontal="center"/>
    </xf>
    <xf numFmtId="0" fontId="27" fillId="0" borderId="0" xfId="0" applyFont="1" applyAlignment="1" applyProtection="1">
      <alignment horizontal="left" vertical="center" wrapText="1" readingOrder="1"/>
      <protection locked="0"/>
    </xf>
    <xf numFmtId="0" fontId="17" fillId="35" borderId="0" xfId="0" applyFont="1" applyFill="1"/>
    <xf numFmtId="0" fontId="28" fillId="0" borderId="0" xfId="0" applyFont="1"/>
    <xf numFmtId="0" fontId="29" fillId="0" borderId="0" xfId="0" applyFont="1"/>
    <xf numFmtId="0" fontId="28" fillId="0" borderId="0" xfId="0" applyFont="1" applyAlignment="1">
      <alignment horizontal="left" vertical="center" readingOrder="1"/>
    </xf>
    <xf numFmtId="0" fontId="32" fillId="0" borderId="0" xfId="0" applyFont="1" applyAlignment="1">
      <alignment horizontal="left" vertical="center" readingOrder="1"/>
    </xf>
    <xf numFmtId="0" fontId="29" fillId="0" borderId="0" xfId="0" applyFont="1" applyAlignment="1">
      <alignment horizontal="left" vertical="center" readingOrder="1"/>
    </xf>
    <xf numFmtId="0" fontId="24" fillId="7" borderId="2" xfId="0" applyFont="1" applyFill="1" applyBorder="1" applyAlignment="1" applyProtection="1">
      <alignment vertical="center" wrapText="1" readingOrder="1"/>
      <protection locked="0"/>
    </xf>
    <xf numFmtId="0" fontId="0" fillId="7" borderId="0" xfId="0" applyFill="1" applyAlignment="1">
      <alignment wrapText="1"/>
    </xf>
    <xf numFmtId="17" fontId="24" fillId="7" borderId="2" xfId="0" applyNumberFormat="1" applyFont="1" applyFill="1" applyBorder="1" applyAlignment="1" applyProtection="1">
      <alignment vertical="center" wrapText="1" readingOrder="1"/>
      <protection locked="0"/>
    </xf>
    <xf numFmtId="0" fontId="24" fillId="7" borderId="2" xfId="0" applyFont="1" applyFill="1" applyBorder="1" applyAlignment="1" applyProtection="1">
      <alignment horizontal="center" vertical="center" wrapText="1" readingOrder="1"/>
      <protection locked="0"/>
    </xf>
    <xf numFmtId="0" fontId="21" fillId="7" borderId="2" xfId="0" quotePrefix="1" applyFont="1" applyFill="1" applyBorder="1" applyAlignment="1" applyProtection="1">
      <alignment horizontal="center" vertical="center" wrapText="1"/>
      <protection locked="0"/>
    </xf>
    <xf numFmtId="0" fontId="24" fillId="7" borderId="8" xfId="0" applyFont="1" applyFill="1" applyBorder="1" applyAlignment="1" applyProtection="1">
      <alignment vertical="center" wrapText="1" readingOrder="1"/>
      <protection locked="0"/>
    </xf>
    <xf numFmtId="43" fontId="0" fillId="0" borderId="0" xfId="2" applyFont="1"/>
    <xf numFmtId="43" fontId="0" fillId="0" borderId="0" xfId="2" applyFont="1" applyAlignment="1">
      <alignment horizontal="center" vertical="center"/>
    </xf>
    <xf numFmtId="43" fontId="0" fillId="0" borderId="0" xfId="2" applyFont="1" applyAlignment="1">
      <alignment horizontal="center"/>
    </xf>
    <xf numFmtId="0" fontId="24" fillId="2" borderId="4" xfId="0" applyFont="1" applyFill="1" applyBorder="1" applyAlignment="1" applyProtection="1">
      <alignment horizontal="center" vertical="center" wrapText="1" readingOrder="1"/>
      <protection locked="0"/>
    </xf>
    <xf numFmtId="0" fontId="24" fillId="2" borderId="6" xfId="0" applyFont="1" applyFill="1" applyBorder="1" applyAlignment="1" applyProtection="1">
      <alignment horizontal="center" vertical="center" wrapText="1" readingOrder="1"/>
      <protection locked="0"/>
    </xf>
    <xf numFmtId="0" fontId="24" fillId="2" borderId="2" xfId="0" applyFont="1" applyFill="1" applyBorder="1" applyAlignment="1" applyProtection="1">
      <alignment horizontal="center" vertical="center" wrapText="1" readingOrder="1"/>
      <protection locked="0"/>
    </xf>
    <xf numFmtId="0" fontId="24" fillId="2" borderId="5" xfId="0" applyFont="1" applyFill="1" applyBorder="1" applyAlignment="1" applyProtection="1">
      <alignment horizontal="center" vertical="center" wrapText="1" readingOrder="1"/>
      <protection locked="0"/>
    </xf>
    <xf numFmtId="0" fontId="24" fillId="21" borderId="8" xfId="0" quotePrefix="1" applyFont="1" applyFill="1" applyBorder="1" applyAlignment="1" applyProtection="1">
      <alignment vertical="center" wrapText="1" readingOrder="1"/>
      <protection locked="0"/>
    </xf>
    <xf numFmtId="0" fontId="24" fillId="2" borderId="15" xfId="0" applyFont="1" applyFill="1" applyBorder="1" applyAlignment="1" applyProtection="1">
      <alignment horizontal="center" vertical="center" wrapText="1" readingOrder="1"/>
      <protection locked="0"/>
    </xf>
    <xf numFmtId="0" fontId="24" fillId="2" borderId="17" xfId="0" applyFont="1" applyFill="1" applyBorder="1" applyAlignment="1" applyProtection="1">
      <alignment horizontal="center" vertical="center" wrapText="1" readingOrder="1"/>
      <protection locked="0"/>
    </xf>
    <xf numFmtId="0" fontId="24" fillId="2" borderId="4" xfId="0" applyFont="1" applyFill="1" applyBorder="1" applyAlignment="1" applyProtection="1">
      <alignment horizontal="justify" vertical="center" wrapText="1" readingOrder="1"/>
      <protection locked="0"/>
    </xf>
    <xf numFmtId="0" fontId="24" fillId="7" borderId="16" xfId="0" applyFont="1" applyFill="1" applyBorder="1" applyAlignment="1" applyProtection="1">
      <alignment horizontal="center" vertical="center" wrapText="1" readingOrder="1"/>
      <protection locked="0"/>
    </xf>
    <xf numFmtId="0" fontId="13" fillId="2" borderId="16" xfId="0" applyFont="1" applyFill="1" applyBorder="1" applyAlignment="1" applyProtection="1">
      <alignment vertical="center" wrapText="1" readingOrder="1"/>
      <protection locked="0"/>
    </xf>
    <xf numFmtId="0" fontId="24" fillId="2" borderId="16" xfId="0" quotePrefix="1" applyFont="1" applyFill="1" applyBorder="1" applyAlignment="1" applyProtection="1">
      <alignment horizontal="justify" vertical="center" wrapText="1" readingOrder="1"/>
      <protection locked="0"/>
    </xf>
    <xf numFmtId="0" fontId="24" fillId="21" borderId="16" xfId="0" applyFont="1" applyFill="1" applyBorder="1" applyAlignment="1" applyProtection="1">
      <alignment vertical="center" wrapText="1" readingOrder="1"/>
      <protection locked="0"/>
    </xf>
    <xf numFmtId="0" fontId="24" fillId="2" borderId="16" xfId="0" applyFont="1" applyFill="1" applyBorder="1" applyAlignment="1" applyProtection="1">
      <alignment vertical="center" wrapText="1" readingOrder="1"/>
      <protection locked="0"/>
    </xf>
    <xf numFmtId="0" fontId="24" fillId="2" borderId="6" xfId="0" applyFont="1" applyFill="1" applyBorder="1" applyAlignment="1" applyProtection="1">
      <alignment horizontal="justify" vertical="center" wrapText="1" readingOrder="1"/>
      <protection locked="0"/>
    </xf>
    <xf numFmtId="0" fontId="24" fillId="7" borderId="6" xfId="0" applyFont="1" applyFill="1" applyBorder="1" applyAlignment="1" applyProtection="1">
      <alignment horizontal="center" vertical="center" wrapText="1" readingOrder="1"/>
      <protection locked="0"/>
    </xf>
    <xf numFmtId="0" fontId="13" fillId="2" borderId="18" xfId="0" applyFont="1" applyFill="1" applyBorder="1" applyAlignment="1" applyProtection="1">
      <alignment vertical="center" wrapText="1" readingOrder="1"/>
      <protection locked="0"/>
    </xf>
    <xf numFmtId="0" fontId="24" fillId="2" borderId="18" xfId="0" applyFont="1" applyFill="1" applyBorder="1" applyAlignment="1" applyProtection="1">
      <alignment vertical="center" wrapText="1" readingOrder="1"/>
      <protection locked="0"/>
    </xf>
    <xf numFmtId="0" fontId="24" fillId="2" borderId="18" xfId="0" quotePrefix="1" applyFont="1" applyFill="1" applyBorder="1" applyAlignment="1" applyProtection="1">
      <alignment horizontal="justify" vertical="center" wrapText="1" readingOrder="1"/>
      <protection locked="0"/>
    </xf>
    <xf numFmtId="0" fontId="24" fillId="21" borderId="18" xfId="0" applyFont="1" applyFill="1" applyBorder="1" applyAlignment="1" applyProtection="1">
      <alignment vertical="center" wrapText="1" readingOrder="1"/>
      <protection locked="0"/>
    </xf>
    <xf numFmtId="0" fontId="13" fillId="2" borderId="15" xfId="0" applyFont="1" applyFill="1" applyBorder="1" applyAlignment="1" applyProtection="1">
      <alignment vertical="center" wrapText="1" readingOrder="1"/>
      <protection locked="0"/>
    </xf>
    <xf numFmtId="0" fontId="24" fillId="7" borderId="15" xfId="0" applyFont="1" applyFill="1" applyBorder="1" applyAlignment="1" applyProtection="1">
      <alignment horizontal="center" vertical="center" wrapText="1" readingOrder="1"/>
      <protection locked="0"/>
    </xf>
    <xf numFmtId="0" fontId="24" fillId="21" borderId="15" xfId="0" applyFont="1" applyFill="1" applyBorder="1" applyAlignment="1" applyProtection="1">
      <alignment vertical="center" wrapText="1" readingOrder="1"/>
      <protection locked="0"/>
    </xf>
    <xf numFmtId="0" fontId="24" fillId="2" borderId="15" xfId="0" applyFont="1" applyFill="1" applyBorder="1" applyAlignment="1" applyProtection="1">
      <alignment vertical="center" wrapText="1" readingOrder="1"/>
      <protection locked="0"/>
    </xf>
    <xf numFmtId="0" fontId="0" fillId="0" borderId="15" xfId="0" applyBorder="1"/>
    <xf numFmtId="0" fontId="24" fillId="0" borderId="15" xfId="0" applyFont="1" applyBorder="1" applyAlignment="1" applyProtection="1">
      <alignment horizontal="justify" vertical="center" wrapText="1" readingOrder="1"/>
      <protection locked="0"/>
    </xf>
    <xf numFmtId="0" fontId="24" fillId="21" borderId="0" xfId="0" applyFont="1" applyFill="1" applyBorder="1" applyAlignment="1" applyProtection="1">
      <alignment vertical="center" wrapText="1" readingOrder="1"/>
      <protection locked="0"/>
    </xf>
    <xf numFmtId="0" fontId="24" fillId="21" borderId="0" xfId="0" quotePrefix="1" applyFont="1" applyFill="1" applyAlignment="1" applyProtection="1">
      <alignment vertical="center" wrapText="1" readingOrder="1"/>
      <protection locked="0"/>
    </xf>
    <xf numFmtId="0" fontId="24" fillId="21" borderId="0" xfId="0" applyFont="1" applyFill="1" applyAlignment="1" applyProtection="1">
      <alignment vertical="center" wrapText="1" readingOrder="1"/>
      <protection locked="0"/>
    </xf>
    <xf numFmtId="0" fontId="24" fillId="2" borderId="20" xfId="0" applyFont="1" applyFill="1" applyBorder="1" applyAlignment="1" applyProtection="1">
      <alignment horizontal="center" vertical="center" wrapText="1" readingOrder="1"/>
      <protection locked="0"/>
    </xf>
    <xf numFmtId="0" fontId="24" fillId="2" borderId="13" xfId="0" applyFont="1" applyFill="1" applyBorder="1" applyAlignment="1" applyProtection="1">
      <alignment horizontal="center" vertical="center" wrapText="1" readingOrder="1"/>
      <protection locked="0"/>
    </xf>
    <xf numFmtId="0" fontId="24" fillId="36" borderId="6" xfId="0" applyFont="1" applyFill="1" applyBorder="1" applyAlignment="1" applyProtection="1">
      <alignment horizontal="center" vertical="center" wrapText="1" readingOrder="1"/>
      <protection locked="0"/>
    </xf>
    <xf numFmtId="0" fontId="24" fillId="36" borderId="6" xfId="0" applyFont="1" applyFill="1" applyBorder="1" applyAlignment="1" applyProtection="1">
      <alignment horizontal="justify" vertical="center" wrapText="1" readingOrder="1"/>
      <protection locked="0"/>
    </xf>
    <xf numFmtId="0" fontId="0" fillId="36" borderId="0" xfId="0" applyFill="1"/>
    <xf numFmtId="0" fontId="13" fillId="36" borderId="18" xfId="0" applyFont="1" applyFill="1" applyBorder="1" applyAlignment="1" applyProtection="1">
      <alignment vertical="center" wrapText="1" readingOrder="1"/>
      <protection locked="0"/>
    </xf>
    <xf numFmtId="0" fontId="24" fillId="36" borderId="8" xfId="0" applyFont="1" applyFill="1" applyBorder="1" applyAlignment="1" applyProtection="1">
      <alignment vertical="center" wrapText="1" readingOrder="1"/>
      <protection locked="0"/>
    </xf>
    <xf numFmtId="0" fontId="24" fillId="36" borderId="18" xfId="0" applyFont="1" applyFill="1" applyBorder="1" applyAlignment="1" applyProtection="1">
      <alignment vertical="center" wrapText="1" readingOrder="1"/>
      <protection locked="0"/>
    </xf>
    <xf numFmtId="0" fontId="24" fillId="36" borderId="8" xfId="0" quotePrefix="1" applyFont="1" applyFill="1" applyBorder="1" applyAlignment="1" applyProtection="1">
      <alignment horizontal="justify" vertical="center" wrapText="1" readingOrder="1"/>
      <protection locked="0"/>
    </xf>
    <xf numFmtId="0" fontId="24" fillId="36" borderId="2" xfId="0" applyFont="1" applyFill="1" applyBorder="1" applyAlignment="1" applyProtection="1">
      <alignment horizontal="center" vertical="center" wrapText="1" readingOrder="1"/>
      <protection locked="0"/>
    </xf>
    <xf numFmtId="0" fontId="24" fillId="36" borderId="2" xfId="0" applyFont="1" applyFill="1" applyBorder="1" applyAlignment="1" applyProtection="1">
      <alignment horizontal="justify" vertical="center" wrapText="1" readingOrder="1"/>
      <protection locked="0"/>
    </xf>
    <xf numFmtId="0" fontId="13" fillId="36" borderId="8" xfId="0" applyFont="1" applyFill="1" applyBorder="1" applyAlignment="1" applyProtection="1">
      <alignment vertical="center" wrapText="1" readingOrder="1"/>
      <protection locked="0"/>
    </xf>
    <xf numFmtId="0" fontId="24" fillId="37" borderId="2" xfId="0" applyFont="1" applyFill="1" applyBorder="1" applyAlignment="1" applyProtection="1">
      <alignment horizontal="center" vertical="center" wrapText="1" readingOrder="1"/>
      <protection locked="0"/>
    </xf>
    <xf numFmtId="0" fontId="24" fillId="37" borderId="2" xfId="0" applyFont="1" applyFill="1" applyBorder="1" applyAlignment="1" applyProtection="1">
      <alignment horizontal="justify" vertical="center" wrapText="1" readingOrder="1"/>
      <protection locked="0"/>
    </xf>
    <xf numFmtId="0" fontId="0" fillId="37" borderId="0" xfId="0" applyFill="1"/>
    <xf numFmtId="0" fontId="13" fillId="37" borderId="8" xfId="0" applyFont="1" applyFill="1" applyBorder="1" applyAlignment="1" applyProtection="1">
      <alignment vertical="center" wrapText="1" readingOrder="1"/>
      <protection locked="0"/>
    </xf>
    <xf numFmtId="0" fontId="24" fillId="37" borderId="8" xfId="0" applyFont="1" applyFill="1" applyBorder="1" applyAlignment="1" applyProtection="1">
      <alignment vertical="center" wrapText="1" readingOrder="1"/>
      <protection locked="0"/>
    </xf>
    <xf numFmtId="0" fontId="24" fillId="37" borderId="8" xfId="0" quotePrefix="1" applyFont="1" applyFill="1" applyBorder="1" applyAlignment="1" applyProtection="1">
      <alignment horizontal="justify" vertical="center" wrapText="1" readingOrder="1"/>
      <protection locked="0"/>
    </xf>
    <xf numFmtId="0" fontId="24" fillId="36" borderId="8" xfId="0" applyFont="1" applyFill="1" applyBorder="1" applyAlignment="1" applyProtection="1">
      <alignment horizontal="justify" vertical="center" wrapText="1" readingOrder="1"/>
      <protection locked="0"/>
    </xf>
    <xf numFmtId="0" fontId="24" fillId="37" borderId="8" xfId="0" applyFont="1" applyFill="1" applyBorder="1" applyAlignment="1" applyProtection="1">
      <alignment horizontal="justify" vertical="center" wrapText="1" readingOrder="1"/>
      <protection locked="0"/>
    </xf>
    <xf numFmtId="0" fontId="33" fillId="30" borderId="0" xfId="0" applyFont="1" applyFill="1" applyAlignment="1">
      <alignment horizontal="center" vertical="center" wrapText="1"/>
    </xf>
    <xf numFmtId="0" fontId="24" fillId="2" borderId="4" xfId="0" applyFont="1" applyFill="1" applyBorder="1" applyAlignment="1" applyProtection="1">
      <alignment horizontal="center" vertical="center" wrapText="1" readingOrder="1"/>
      <protection locked="0"/>
    </xf>
    <xf numFmtId="0" fontId="24" fillId="2" borderId="15" xfId="0" applyFont="1" applyFill="1" applyBorder="1" applyAlignment="1" applyProtection="1">
      <alignment horizontal="center" vertical="center" wrapText="1" readingOrder="1"/>
      <protection locked="0"/>
    </xf>
    <xf numFmtId="0" fontId="24" fillId="2" borderId="2" xfId="0" applyFont="1" applyFill="1" applyBorder="1" applyAlignment="1" applyProtection="1">
      <alignment horizontal="center" vertical="center" wrapText="1" readingOrder="1"/>
      <protection locked="0"/>
    </xf>
    <xf numFmtId="0" fontId="13" fillId="7" borderId="13" xfId="0" applyFont="1" applyFill="1" applyBorder="1" applyAlignment="1" applyProtection="1">
      <alignment horizontal="center" vertical="center" wrapText="1" readingOrder="1"/>
      <protection locked="0"/>
    </xf>
    <xf numFmtId="0" fontId="13" fillId="7" borderId="4" xfId="0" applyFont="1" applyFill="1" applyBorder="1" applyAlignment="1" applyProtection="1">
      <alignment horizontal="center" vertical="center" wrapText="1" readingOrder="1"/>
      <protection locked="0"/>
    </xf>
    <xf numFmtId="0" fontId="13" fillId="7" borderId="15" xfId="0" applyFont="1" applyFill="1" applyBorder="1" applyAlignment="1" applyProtection="1">
      <alignment horizontal="center" vertical="center" wrapText="1" readingOrder="1"/>
      <protection locked="0"/>
    </xf>
    <xf numFmtId="0" fontId="13" fillId="7" borderId="19" xfId="0" applyFont="1" applyFill="1" applyBorder="1" applyAlignment="1" applyProtection="1">
      <alignment horizontal="center" vertical="center" wrapText="1" readingOrder="1"/>
      <protection locked="0"/>
    </xf>
    <xf numFmtId="0" fontId="24" fillId="0" borderId="2" xfId="0" applyFont="1" applyBorder="1" applyAlignment="1" applyProtection="1">
      <alignment horizontal="center" vertical="center" wrapText="1" readingOrder="1"/>
      <protection locked="0"/>
    </xf>
    <xf numFmtId="0" fontId="24" fillId="2" borderId="14" xfId="0" applyFont="1" applyFill="1" applyBorder="1" applyAlignment="1" applyProtection="1">
      <alignment horizontal="center" vertical="center" wrapText="1" readingOrder="1"/>
      <protection locked="0"/>
    </xf>
    <xf numFmtId="0" fontId="24" fillId="2" borderId="11" xfId="0" applyFont="1" applyFill="1" applyBorder="1" applyAlignment="1" applyProtection="1">
      <alignment horizontal="center" vertical="center" wrapText="1" readingOrder="1"/>
      <protection locked="0"/>
    </xf>
    <xf numFmtId="0" fontId="24" fillId="0" borderId="4" xfId="0" applyFont="1" applyBorder="1" applyAlignment="1" applyProtection="1">
      <alignment horizontal="center" vertical="center" wrapText="1" readingOrder="1"/>
      <protection locked="0"/>
    </xf>
    <xf numFmtId="0" fontId="11" fillId="6" borderId="0" xfId="1" applyFont="1" applyFill="1" applyBorder="1" applyAlignment="1">
      <alignment horizontal="center" vertical="center" wrapText="1"/>
    </xf>
    <xf numFmtId="0" fontId="10" fillId="5" borderId="0" xfId="1" applyFont="1" applyFill="1" applyBorder="1" applyAlignment="1">
      <alignment horizontal="center" vertical="center" wrapText="1"/>
    </xf>
    <xf numFmtId="0" fontId="10" fillId="25" borderId="0" xfId="1" applyFont="1" applyFill="1" applyBorder="1" applyAlignment="1">
      <alignment horizontal="center" vertical="center" wrapText="1"/>
    </xf>
    <xf numFmtId="0" fontId="10" fillId="31" borderId="0" xfId="1" applyFont="1" applyFill="1" applyBorder="1" applyAlignment="1">
      <alignment horizontal="center" vertical="center" wrapText="1"/>
    </xf>
    <xf numFmtId="0" fontId="10" fillId="26" borderId="0" xfId="1" applyFont="1" applyFill="1" applyBorder="1" applyAlignment="1">
      <alignment horizontal="center" vertical="center" wrapText="1"/>
    </xf>
    <xf numFmtId="0" fontId="10" fillId="27" borderId="0" xfId="1" applyFont="1" applyFill="1" applyBorder="1" applyAlignment="1">
      <alignment horizontal="center" vertical="center" wrapText="1"/>
    </xf>
    <xf numFmtId="0" fontId="10" fillId="28" borderId="0" xfId="1" applyFont="1" applyFill="1" applyBorder="1" applyAlignment="1">
      <alignment horizontal="center" vertical="center" wrapText="1"/>
    </xf>
    <xf numFmtId="0" fontId="10" fillId="29" borderId="0" xfId="1" applyFont="1" applyFill="1" applyBorder="1" applyAlignment="1">
      <alignment horizontal="center" vertical="center" wrapText="1"/>
    </xf>
    <xf numFmtId="0" fontId="24" fillId="2" borderId="13" xfId="0" applyFont="1" applyFill="1" applyBorder="1" applyAlignment="1" applyProtection="1">
      <alignment horizontal="center" vertical="center" wrapText="1" readingOrder="1"/>
      <protection locked="0"/>
    </xf>
    <xf numFmtId="0" fontId="24" fillId="2" borderId="21" xfId="0" applyFont="1" applyFill="1" applyBorder="1" applyAlignment="1" applyProtection="1">
      <alignment horizontal="center" vertical="center" wrapText="1" readingOrder="1"/>
      <protection locked="0"/>
    </xf>
    <xf numFmtId="0" fontId="24" fillId="2" borderId="12" xfId="0" applyFont="1" applyFill="1" applyBorder="1" applyAlignment="1" applyProtection="1">
      <alignment horizontal="center" vertical="center" wrapText="1" readingOrder="1"/>
      <protection locked="0"/>
    </xf>
    <xf numFmtId="0" fontId="13" fillId="7" borderId="4" xfId="0" applyFont="1" applyFill="1" applyBorder="1" applyAlignment="1" applyProtection="1">
      <alignment vertical="center" wrapText="1" readingOrder="1"/>
      <protection locked="0"/>
    </xf>
    <xf numFmtId="0" fontId="24" fillId="2" borderId="9" xfId="0" applyFont="1" applyFill="1" applyBorder="1" applyAlignment="1" applyProtection="1">
      <alignment horizontal="center" vertical="center" wrapText="1" readingOrder="1"/>
      <protection locked="0"/>
    </xf>
    <xf numFmtId="0" fontId="24" fillId="2" borderId="9" xfId="0" applyFont="1" applyFill="1" applyBorder="1" applyAlignment="1" applyProtection="1">
      <alignment vertical="center" wrapText="1" readingOrder="1"/>
      <protection locked="0"/>
    </xf>
    <xf numFmtId="0" fontId="14" fillId="2" borderId="2" xfId="0" applyFont="1" applyFill="1" applyBorder="1" applyAlignment="1">
      <alignment horizontal="left" vertical="top"/>
    </xf>
    <xf numFmtId="0" fontId="8" fillId="6" borderId="1" xfId="1" applyFont="1" applyFill="1" applyBorder="1" applyAlignment="1">
      <alignment horizontal="left" vertical="top" wrapText="1"/>
    </xf>
    <xf numFmtId="0" fontId="14" fillId="2" borderId="2" xfId="0" applyFont="1" applyFill="1" applyBorder="1" applyAlignment="1">
      <alignment horizontal="left" vertical="center"/>
    </xf>
    <xf numFmtId="0" fontId="14" fillId="2" borderId="2" xfId="0" applyFont="1" applyFill="1" applyBorder="1" applyAlignment="1">
      <alignment horizontal="left" vertical="center" wrapText="1"/>
    </xf>
    <xf numFmtId="0" fontId="8" fillId="6" borderId="3" xfId="1" applyFont="1" applyFill="1" applyBorder="1" applyAlignment="1">
      <alignment horizontal="left" vertical="top" wrapText="1"/>
    </xf>
    <xf numFmtId="0" fontId="15" fillId="2" borderId="2" xfId="0" applyFont="1" applyFill="1" applyBorder="1" applyAlignment="1">
      <alignment horizontal="left" vertical="top"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9" xfId="0" applyFont="1" applyBorder="1" applyAlignment="1">
      <alignment horizontal="center" vertical="center" wrapText="1"/>
    </xf>
    <xf numFmtId="0" fontId="4" fillId="6" borderId="0" xfId="1" applyFont="1" applyFill="1" applyBorder="1" applyAlignment="1">
      <alignment horizontal="center" vertical="center" wrapText="1"/>
    </xf>
    <xf numFmtId="0" fontId="4" fillId="6" borderId="7"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8" borderId="0" xfId="1" applyFont="1" applyFill="1" applyBorder="1" applyAlignment="1">
      <alignment horizontal="center" vertical="center" wrapText="1"/>
    </xf>
    <xf numFmtId="0" fontId="6" fillId="4" borderId="0" xfId="1" applyFont="1" applyFill="1" applyBorder="1" applyAlignment="1">
      <alignment horizontal="center" vertical="center" wrapText="1"/>
    </xf>
    <xf numFmtId="0" fontId="17" fillId="9" borderId="0" xfId="0" applyFont="1" applyFill="1" applyAlignment="1">
      <alignment horizontal="center"/>
    </xf>
    <xf numFmtId="0" fontId="12" fillId="4" borderId="0" xfId="1" applyFont="1" applyFill="1" applyBorder="1" applyAlignment="1">
      <alignment horizontal="center" vertical="center" wrapText="1"/>
    </xf>
  </cellXfs>
  <cellStyles count="3">
    <cellStyle name="Accent1" xfId="1" builtinId="29"/>
    <cellStyle name="Comma" xfId="2" builtinId="3"/>
    <cellStyle name="Normal" xfId="0" builtinId="0"/>
  </cellStyles>
  <dxfs count="287">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b/>
        <i val="0"/>
        <color theme="0"/>
      </font>
      <fill>
        <patternFill>
          <bgColor rgb="FF00B050"/>
        </patternFill>
      </fill>
    </dxf>
    <dxf>
      <font>
        <b/>
        <i val="0"/>
        <color theme="0"/>
      </font>
      <fill>
        <patternFill>
          <bgColor rgb="FFFFC000"/>
        </patternFill>
      </fill>
    </dxf>
    <dxf>
      <font>
        <b/>
        <i val="0"/>
        <color theme="0"/>
      </font>
      <fill>
        <patternFill>
          <bgColor rgb="FFC6007E"/>
        </patternFill>
      </fill>
    </dxf>
    <dxf>
      <font>
        <color theme="0"/>
      </font>
      <fill>
        <patternFill>
          <bgColor rgb="FF00B050"/>
        </patternFill>
      </fill>
    </dxf>
    <dxf>
      <font>
        <color theme="0"/>
      </font>
      <fill>
        <patternFill>
          <bgColor rgb="FFFFC000"/>
        </patternFill>
      </fill>
    </dxf>
    <dxf>
      <font>
        <b/>
        <i val="0"/>
        <color theme="0"/>
      </font>
      <fill>
        <patternFill>
          <bgColor rgb="FFC6007E"/>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color theme="0"/>
      </font>
      <fill>
        <patternFill patternType="solid">
          <bgColor rgb="FF92D050"/>
        </patternFill>
      </fill>
    </dxf>
    <dxf>
      <font>
        <color theme="0"/>
      </font>
      <fill>
        <patternFill patternType="solid">
          <bgColor rgb="FFFFC000"/>
        </patternFill>
      </fill>
    </dxf>
    <dxf>
      <font>
        <color theme="0"/>
      </font>
      <fill>
        <patternFill patternType="solid">
          <bgColor rgb="FFFF0000"/>
        </patternFill>
      </fill>
    </dxf>
    <dxf>
      <font>
        <color theme="0"/>
      </font>
      <fill>
        <patternFill patternType="solid">
          <bgColor rgb="FF92D050"/>
        </patternFill>
      </fill>
    </dxf>
    <dxf>
      <font>
        <color theme="0"/>
      </font>
      <fill>
        <patternFill patternType="solid">
          <bgColor rgb="FFFFC000"/>
        </patternFill>
      </fill>
    </dxf>
    <dxf>
      <font>
        <color theme="0"/>
      </font>
      <fill>
        <patternFill patternType="solid">
          <bgColor rgb="FFFF0000"/>
        </patternFill>
      </fill>
    </dxf>
    <dxf>
      <font>
        <color theme="0"/>
      </font>
      <fill>
        <patternFill patternType="solid">
          <bgColor rgb="FF92D050"/>
        </patternFill>
      </fill>
    </dxf>
    <dxf>
      <font>
        <color theme="0"/>
      </font>
      <fill>
        <patternFill patternType="solid">
          <bgColor rgb="FFFFC000"/>
        </patternFill>
      </fill>
    </dxf>
    <dxf>
      <font>
        <color theme="0"/>
      </font>
      <fill>
        <patternFill patternType="solid">
          <bgColor rgb="FFFF0000"/>
        </patternFill>
      </fill>
    </dxf>
    <dxf>
      <font>
        <color theme="0"/>
      </font>
      <fill>
        <patternFill patternType="solid">
          <bgColor rgb="FF92D050"/>
        </patternFill>
      </fill>
    </dxf>
    <dxf>
      <font>
        <color theme="0"/>
      </font>
      <fill>
        <patternFill patternType="solid">
          <bgColor rgb="FFFFC000"/>
        </patternFill>
      </fill>
    </dxf>
    <dxf>
      <font>
        <color theme="0"/>
      </font>
      <fill>
        <patternFill patternType="solid">
          <bgColor rgb="FFFF0000"/>
        </patternFill>
      </fill>
    </dxf>
    <dxf>
      <font>
        <color theme="0"/>
      </font>
      <fill>
        <patternFill patternType="solid">
          <bgColor rgb="FF92D050"/>
        </patternFill>
      </fill>
    </dxf>
    <dxf>
      <font>
        <color theme="0"/>
      </font>
      <fill>
        <patternFill patternType="solid">
          <bgColor rgb="FFFFC000"/>
        </patternFill>
      </fill>
    </dxf>
    <dxf>
      <font>
        <color theme="0"/>
      </font>
      <fill>
        <patternFill patternType="solid">
          <bgColor rgb="FFFF0000"/>
        </patternFill>
      </fill>
    </dxf>
    <dxf>
      <font>
        <color theme="0"/>
      </font>
      <fill>
        <patternFill patternType="solid">
          <bgColor rgb="FF92D050"/>
        </patternFill>
      </fill>
    </dxf>
    <dxf>
      <font>
        <color theme="0"/>
      </font>
      <fill>
        <patternFill patternType="solid">
          <bgColor rgb="FFFFC000"/>
        </patternFill>
      </fill>
    </dxf>
    <dxf>
      <font>
        <color theme="0"/>
      </font>
      <fill>
        <patternFill patternType="solid">
          <bgColor rgb="FFFF0000"/>
        </patternFill>
      </fill>
    </dxf>
    <dxf>
      <font>
        <color theme="0"/>
      </font>
      <fill>
        <patternFill patternType="solid">
          <bgColor rgb="FF92D050"/>
        </patternFill>
      </fill>
    </dxf>
    <dxf>
      <font>
        <color theme="0"/>
      </font>
      <fill>
        <patternFill patternType="solid">
          <bgColor rgb="FFFFC000"/>
        </patternFill>
      </fill>
    </dxf>
    <dxf>
      <font>
        <color theme="0"/>
      </font>
      <fill>
        <patternFill patternType="solid">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
      <font>
        <b/>
        <i val="0"/>
        <color theme="0"/>
      </font>
      <fill>
        <patternFill>
          <bgColor rgb="FF92D050"/>
        </patternFill>
      </fill>
    </dxf>
    <dxf>
      <font>
        <b val="0"/>
        <i val="0"/>
        <color theme="0"/>
      </font>
      <fill>
        <patternFill>
          <bgColor rgb="FFB50B84"/>
        </patternFill>
      </fill>
    </dxf>
    <dxf>
      <font>
        <b val="0"/>
        <i val="0"/>
        <color theme="0"/>
      </font>
      <fill>
        <patternFill>
          <bgColor theme="8" tint="0.39994506668294322"/>
        </patternFill>
      </fill>
    </dxf>
    <dxf>
      <font>
        <b val="0"/>
        <i val="0"/>
        <color theme="0"/>
      </font>
      <fill>
        <patternFill>
          <bgColor theme="4" tint="0.39994506668294322"/>
        </patternFill>
      </fill>
    </dxf>
    <dxf>
      <font>
        <b val="0"/>
        <i val="0"/>
        <color theme="0"/>
      </font>
      <fill>
        <patternFill>
          <bgColor rgb="FFFFC000"/>
        </patternFill>
      </fill>
    </dxf>
    <dxf>
      <font>
        <b val="0"/>
        <i val="0"/>
        <color theme="0"/>
      </font>
      <numFmt numFmtId="0" formatCode="General"/>
      <fill>
        <patternFill>
          <bgColor rgb="FFFF0000"/>
        </patternFill>
      </fill>
    </dxf>
  </dxfs>
  <tableStyles count="1" defaultTableStyle="TableStyleMedium2" defaultPivotStyle="PivotStyleLight16">
    <tableStyle name="KPMG"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38D"/>
      <rgbColor rgb="000091DA"/>
      <rgbColor rgb="006D2077"/>
      <rgbColor rgb="00005EB8"/>
      <rgbColor rgb="0000A3A1"/>
      <rgbColor rgb="00EAAA00"/>
      <rgbColor rgb="0043B02A"/>
      <rgbColor rgb="00C6007E"/>
      <rgbColor rgb="0000338D"/>
      <rgbColor rgb="000091DA"/>
      <rgbColor rgb="006D2077"/>
      <rgbColor rgb="00005EB8"/>
      <rgbColor rgb="0000A3A1"/>
      <rgbColor rgb="00EAAA00"/>
      <rgbColor rgb="0043B02A"/>
      <rgbColor rgb="00C6007E"/>
      <rgbColor rgb="00753F19"/>
      <rgbColor rgb="009B642E"/>
      <rgbColor rgb="009D9375"/>
      <rgbColor rgb="00E3BC9F"/>
      <rgbColor rgb="00E36877"/>
      <rgbColor rgb="00FF99CC"/>
      <rgbColor rgb="00CC99FF"/>
      <rgbColor rgb="00FFCC99"/>
      <rgbColor rgb="003366FF"/>
      <rgbColor rgb="0033CCCC"/>
      <rgbColor rgb="0099CC00"/>
      <rgbColor rgb="00F5B36A"/>
      <rgbColor rgb="00FF9900"/>
      <rgbColor rgb="00FF6600"/>
      <rgbColor rgb="00666699"/>
      <rgbColor rgb="00969696"/>
      <rgbColor rgb="00003366"/>
      <rgbColor rgb="00339966"/>
      <rgbColor rgb="00003300"/>
      <rgbColor rgb="00333300"/>
      <rgbColor rgb="00993300"/>
      <rgbColor rgb="00E6E9EE"/>
      <rgbColor rgb="00333399"/>
      <rgbColor rgb="00333333"/>
    </indexedColors>
    <mruColors>
      <color rgb="FF3D09D1"/>
      <color rgb="FFF5DD77"/>
      <color rgb="FFD00A6D"/>
      <color rgb="FF43B02A"/>
      <color rgb="FFFF00FF"/>
      <color rgb="FF0ED3D8"/>
      <color rgb="FFB50B84"/>
      <color rgb="FFF2D07A"/>
      <color rgb="FFEAAA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Riesgo</a:t>
            </a:r>
            <a:r>
              <a:rPr lang="es-ES" baseline="0"/>
              <a:t> de AI</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0"/>
          <c:order val="0"/>
          <c:tx>
            <c:strRef>
              <c:f>'Evaluación de riesgos totales'!$B$8</c:f>
              <c:strCache>
                <c:ptCount val="1"/>
                <c:pt idx="0">
                  <c:v>Valores centrados en el ser humano y equidad</c:v>
                </c:pt>
              </c:strCache>
            </c:strRef>
          </c:tx>
          <c:spPr>
            <a:ln w="25400" cap="rnd">
              <a:noFill/>
              <a:round/>
            </a:ln>
            <a:effectLst/>
          </c:spPr>
          <c:marker>
            <c:symbol val="circle"/>
            <c:size val="5"/>
            <c:spPr>
              <a:solidFill>
                <a:srgbClr val="C49AE4"/>
              </a:solidFill>
              <a:ln w="101600">
                <a:solidFill>
                  <a:srgbClr val="C49AE4"/>
                </a:solidFill>
                <a:prstDash val="solid"/>
              </a:ln>
              <a:effectLst/>
            </c:spPr>
          </c:marker>
          <c:dPt>
            <c:idx val="0"/>
            <c:marker>
              <c:symbol val="circle"/>
              <c:size val="30"/>
              <c:spPr>
                <a:solidFill>
                  <a:srgbClr val="C49AE4"/>
                </a:solidFill>
                <a:ln w="101600">
                  <a:solidFill>
                    <a:srgbClr val="C49AE4"/>
                  </a:solidFill>
                  <a:prstDash val="solid"/>
                </a:ln>
                <a:effectLst/>
              </c:spPr>
            </c:marker>
            <c:bubble3D val="0"/>
            <c:extLst>
              <c:ext xmlns:c16="http://schemas.microsoft.com/office/drawing/2014/chart" uri="{C3380CC4-5D6E-409C-BE32-E72D297353CC}">
                <c16:uniqueId val="{00000004-1FBB-412B-824C-A7B8CDE1B432}"/>
              </c:ext>
            </c:extLst>
          </c:dPt>
          <c:xVal>
            <c:numRef>
              <c:f>'Evaluación de riesgos totales'!$D$8</c:f>
              <c:numCache>
                <c:formatCode>_(* #,##0.00_);_(* \(#,##0.00\);_(* "-"??_);_(@_)</c:formatCode>
                <c:ptCount val="1"/>
                <c:pt idx="0">
                  <c:v>2.6</c:v>
                </c:pt>
              </c:numCache>
            </c:numRef>
          </c:xVal>
          <c:yVal>
            <c:numRef>
              <c:f>'Evaluación de riesgos totales'!$C$8</c:f>
              <c:numCache>
                <c:formatCode>_(* #,##0.00_);_(* \(#,##0.00\);_(* "-"??_);_(@_)</c:formatCode>
                <c:ptCount val="1"/>
                <c:pt idx="0">
                  <c:v>3.1666666666666665</c:v>
                </c:pt>
              </c:numCache>
            </c:numRef>
          </c:yVal>
          <c:smooth val="0"/>
          <c:extLst>
            <c:ext xmlns:c16="http://schemas.microsoft.com/office/drawing/2014/chart" uri="{C3380CC4-5D6E-409C-BE32-E72D297353CC}">
              <c16:uniqueId val="{00000006-80F1-4AC1-93DF-403A0C372F11}"/>
            </c:ext>
          </c:extLst>
        </c:ser>
        <c:ser>
          <c:idx val="1"/>
          <c:order val="1"/>
          <c:tx>
            <c:strRef>
              <c:f>'Evaluación de riesgos totales'!$B$9</c:f>
              <c:strCache>
                <c:ptCount val="1"/>
                <c:pt idx="0">
                  <c:v>Robustez, seguridad y protección.</c:v>
                </c:pt>
              </c:strCache>
            </c:strRef>
          </c:tx>
          <c:spPr>
            <a:ln w="25400" cap="rnd">
              <a:noFill/>
              <a:round/>
            </a:ln>
            <a:effectLst/>
          </c:spPr>
          <c:marker>
            <c:symbol val="circle"/>
            <c:size val="5"/>
            <c:spPr>
              <a:solidFill>
                <a:srgbClr val="92D050"/>
              </a:solidFill>
              <a:ln w="101600">
                <a:solidFill>
                  <a:srgbClr val="92D050"/>
                </a:solidFill>
                <a:prstDash val="solid"/>
              </a:ln>
              <a:effectLst/>
            </c:spPr>
          </c:marker>
          <c:dPt>
            <c:idx val="0"/>
            <c:marker>
              <c:symbol val="circle"/>
              <c:size val="20"/>
              <c:spPr>
                <a:solidFill>
                  <a:srgbClr val="92D050"/>
                </a:solidFill>
                <a:ln w="101600">
                  <a:solidFill>
                    <a:srgbClr val="92D050"/>
                  </a:solidFill>
                  <a:prstDash val="solid"/>
                </a:ln>
                <a:effectLst/>
              </c:spPr>
            </c:marker>
            <c:bubble3D val="0"/>
            <c:extLst>
              <c:ext xmlns:c16="http://schemas.microsoft.com/office/drawing/2014/chart" uri="{C3380CC4-5D6E-409C-BE32-E72D297353CC}">
                <c16:uniqueId val="{00000005-1FBB-412B-824C-A7B8CDE1B432}"/>
              </c:ext>
            </c:extLst>
          </c:dPt>
          <c:xVal>
            <c:numRef>
              <c:f>'Evaluación de riesgos totales'!$D$9</c:f>
              <c:numCache>
                <c:formatCode>_(* #,##0.00_);_(* \(#,##0.00\);_(* "-"??_);_(@_)</c:formatCode>
                <c:ptCount val="1"/>
                <c:pt idx="0">
                  <c:v>1.6666666666666667</c:v>
                </c:pt>
              </c:numCache>
            </c:numRef>
          </c:xVal>
          <c:yVal>
            <c:numRef>
              <c:f>'Evaluación de riesgos totales'!$C$9</c:f>
              <c:numCache>
                <c:formatCode>_(* #,##0.00_);_(* \(#,##0.00\);_(* "-"??_);_(@_)</c:formatCode>
                <c:ptCount val="1"/>
                <c:pt idx="0">
                  <c:v>3</c:v>
                </c:pt>
              </c:numCache>
            </c:numRef>
          </c:yVal>
          <c:smooth val="0"/>
          <c:extLst>
            <c:ext xmlns:c16="http://schemas.microsoft.com/office/drawing/2014/chart" uri="{C3380CC4-5D6E-409C-BE32-E72D297353CC}">
              <c16:uniqueId val="{00000007-80F1-4AC1-93DF-403A0C372F11}"/>
            </c:ext>
          </c:extLst>
        </c:ser>
        <c:ser>
          <c:idx val="2"/>
          <c:order val="2"/>
          <c:tx>
            <c:strRef>
              <c:f>'Evaluación de riesgos totales'!$B$10</c:f>
              <c:strCache>
                <c:ptCount val="1"/>
                <c:pt idx="0">
                  <c:v>Responsabilidad</c:v>
                </c:pt>
              </c:strCache>
            </c:strRef>
          </c:tx>
          <c:spPr>
            <a:ln w="25400" cap="rnd">
              <a:noFill/>
              <a:round/>
            </a:ln>
            <a:effectLst/>
          </c:spPr>
          <c:marker>
            <c:symbol val="circle"/>
            <c:size val="5"/>
            <c:spPr>
              <a:solidFill>
                <a:srgbClr val="8EC9F4"/>
              </a:solidFill>
              <a:ln w="9525">
                <a:solidFill>
                  <a:srgbClr val="8EC9F4"/>
                </a:solidFill>
                <a:prstDash val="solid"/>
              </a:ln>
              <a:effectLst/>
            </c:spPr>
          </c:marker>
          <c:dPt>
            <c:idx val="0"/>
            <c:marker>
              <c:symbol val="circle"/>
              <c:size val="30"/>
              <c:spPr>
                <a:solidFill>
                  <a:srgbClr val="8EC9F4"/>
                </a:solidFill>
                <a:ln w="9525">
                  <a:solidFill>
                    <a:srgbClr val="8EC9F4"/>
                  </a:solidFill>
                  <a:prstDash val="solid"/>
                </a:ln>
                <a:effectLst/>
              </c:spPr>
            </c:marker>
            <c:bubble3D val="0"/>
            <c:extLst>
              <c:ext xmlns:c16="http://schemas.microsoft.com/office/drawing/2014/chart" uri="{C3380CC4-5D6E-409C-BE32-E72D297353CC}">
                <c16:uniqueId val="{0000000B-80F1-4AC1-93DF-403A0C372F11}"/>
              </c:ext>
            </c:extLst>
          </c:dPt>
          <c:xVal>
            <c:numRef>
              <c:f>'Evaluación de riesgos totales'!$D$10</c:f>
              <c:numCache>
                <c:formatCode>_(* #,##0.00_);_(* \(#,##0.00\);_(* "-"??_);_(@_)</c:formatCode>
                <c:ptCount val="1"/>
                <c:pt idx="0">
                  <c:v>0.875</c:v>
                </c:pt>
              </c:numCache>
            </c:numRef>
          </c:xVal>
          <c:yVal>
            <c:numRef>
              <c:f>'Evaluación de riesgos totales'!$C$10</c:f>
              <c:numCache>
                <c:formatCode>_(* #,##0.00_);_(* \(#,##0.00\);_(* "-"??_);_(@_)</c:formatCode>
                <c:ptCount val="1"/>
                <c:pt idx="0">
                  <c:v>1</c:v>
                </c:pt>
              </c:numCache>
            </c:numRef>
          </c:yVal>
          <c:smooth val="0"/>
          <c:extLst>
            <c:ext xmlns:c16="http://schemas.microsoft.com/office/drawing/2014/chart" uri="{C3380CC4-5D6E-409C-BE32-E72D297353CC}">
              <c16:uniqueId val="{00000008-80F1-4AC1-93DF-403A0C372F11}"/>
            </c:ext>
          </c:extLst>
        </c:ser>
        <c:ser>
          <c:idx val="3"/>
          <c:order val="3"/>
          <c:tx>
            <c:strRef>
              <c:f>'Evaluación de riesgos totales'!$B$11</c:f>
              <c:strCache>
                <c:ptCount val="1"/>
                <c:pt idx="0">
                  <c:v>Transparencia y explicabilidad</c:v>
                </c:pt>
              </c:strCache>
            </c:strRef>
          </c:tx>
          <c:spPr>
            <a:ln w="25400" cap="rnd">
              <a:noFill/>
              <a:round/>
            </a:ln>
            <a:effectLst/>
          </c:spPr>
          <c:marker>
            <c:symbol val="circle"/>
            <c:size val="5"/>
            <c:spPr>
              <a:solidFill>
                <a:srgbClr val="3D09D1"/>
              </a:solidFill>
              <a:ln w="101600">
                <a:solidFill>
                  <a:srgbClr val="3D09D1"/>
                </a:solidFill>
                <a:prstDash val="solid"/>
              </a:ln>
              <a:effectLst/>
            </c:spPr>
          </c:marker>
          <c:dPt>
            <c:idx val="0"/>
            <c:marker>
              <c:symbol val="circle"/>
              <c:size val="10"/>
              <c:spPr>
                <a:solidFill>
                  <a:srgbClr val="3D09D1"/>
                </a:solidFill>
                <a:ln w="101600">
                  <a:solidFill>
                    <a:srgbClr val="3D09D1"/>
                  </a:solidFill>
                  <a:prstDash val="solid"/>
                </a:ln>
                <a:effectLst/>
              </c:spPr>
            </c:marker>
            <c:bubble3D val="0"/>
            <c:extLst>
              <c:ext xmlns:c16="http://schemas.microsoft.com/office/drawing/2014/chart" uri="{C3380CC4-5D6E-409C-BE32-E72D297353CC}">
                <c16:uniqueId val="{00000003-3C82-4B6B-99E7-050750CDBBEC}"/>
              </c:ext>
            </c:extLst>
          </c:dPt>
          <c:xVal>
            <c:numRef>
              <c:f>'Evaluación de riesgos totales'!$D$11</c:f>
              <c:numCache>
                <c:formatCode>_(* #,##0.00_);_(* \(#,##0.00\);_(* "-"??_);_(@_)</c:formatCode>
                <c:ptCount val="1"/>
                <c:pt idx="0">
                  <c:v>1.5294117647058822</c:v>
                </c:pt>
              </c:numCache>
            </c:numRef>
          </c:xVal>
          <c:yVal>
            <c:numRef>
              <c:f>'Evaluación de riesgos totales'!$C$11</c:f>
              <c:numCache>
                <c:formatCode>_(* #,##0.00_);_(* \(#,##0.00\);_(* "-"??_);_(@_)</c:formatCode>
                <c:ptCount val="1"/>
                <c:pt idx="0">
                  <c:v>1.5294117647058822</c:v>
                </c:pt>
              </c:numCache>
            </c:numRef>
          </c:yVal>
          <c:smooth val="0"/>
          <c:extLst>
            <c:ext xmlns:c16="http://schemas.microsoft.com/office/drawing/2014/chart" uri="{C3380CC4-5D6E-409C-BE32-E72D297353CC}">
              <c16:uniqueId val="{00000009-80F1-4AC1-93DF-403A0C372F11}"/>
            </c:ext>
          </c:extLst>
        </c:ser>
        <c:ser>
          <c:idx val="4"/>
          <c:order val="4"/>
          <c:tx>
            <c:strRef>
              <c:f>'Evaluación de riesgos totales'!$B$12</c:f>
              <c:strCache>
                <c:ptCount val="1"/>
                <c:pt idx="0">
                  <c:v>Bienestar social y ambiental</c:v>
                </c:pt>
              </c:strCache>
            </c:strRef>
          </c:tx>
          <c:spPr>
            <a:ln w="25400" cap="rnd">
              <a:noFill/>
              <a:round/>
            </a:ln>
            <a:effectLst/>
          </c:spPr>
          <c:marker>
            <c:symbol val="circle"/>
            <c:size val="5"/>
            <c:spPr>
              <a:solidFill>
                <a:srgbClr val="D00A6D"/>
              </a:solidFill>
              <a:ln w="101600">
                <a:solidFill>
                  <a:srgbClr val="D00A6D"/>
                </a:solidFill>
                <a:prstDash val="solid"/>
              </a:ln>
              <a:effectLst/>
            </c:spPr>
          </c:marker>
          <c:dPt>
            <c:idx val="0"/>
            <c:marker>
              <c:symbol val="circle"/>
              <c:size val="10"/>
              <c:spPr>
                <a:solidFill>
                  <a:srgbClr val="D00A6D"/>
                </a:solidFill>
                <a:ln w="101600">
                  <a:solidFill>
                    <a:srgbClr val="D00A6D"/>
                  </a:solidFill>
                  <a:prstDash val="solid"/>
                </a:ln>
                <a:effectLst/>
              </c:spPr>
            </c:marker>
            <c:bubble3D val="0"/>
            <c:extLst>
              <c:ext xmlns:c16="http://schemas.microsoft.com/office/drawing/2014/chart" uri="{C3380CC4-5D6E-409C-BE32-E72D297353CC}">
                <c16:uniqueId val="{00000004-3C82-4B6B-99E7-050750CDBBEC}"/>
              </c:ext>
            </c:extLst>
          </c:dPt>
          <c:xVal>
            <c:numRef>
              <c:f>'Evaluación de riesgos totales'!$D$12</c:f>
              <c:numCache>
                <c:formatCode>_(* #,##0.00_);_(* \(#,##0.00\);_(* "-"??_);_(@_)</c:formatCode>
                <c:ptCount val="1"/>
                <c:pt idx="0">
                  <c:v>2.0454545454545454</c:v>
                </c:pt>
              </c:numCache>
            </c:numRef>
          </c:xVal>
          <c:yVal>
            <c:numRef>
              <c:f>'Evaluación de riesgos totales'!$C$12</c:f>
              <c:numCache>
                <c:formatCode>_(* #,##0.00_);_(* \(#,##0.00\);_(* "-"??_);_(@_)</c:formatCode>
                <c:ptCount val="1"/>
                <c:pt idx="0">
                  <c:v>3.1666666666666665</c:v>
                </c:pt>
              </c:numCache>
            </c:numRef>
          </c:yVal>
          <c:smooth val="0"/>
          <c:extLst>
            <c:ext xmlns:c16="http://schemas.microsoft.com/office/drawing/2014/chart" uri="{C3380CC4-5D6E-409C-BE32-E72D297353CC}">
              <c16:uniqueId val="{0000000A-80F1-4AC1-93DF-403A0C372F11}"/>
            </c:ext>
          </c:extLst>
        </c:ser>
        <c:ser>
          <c:idx val="5"/>
          <c:order val="5"/>
          <c:tx>
            <c:strRef>
              <c:f>'Evaluación de riesgos totales'!$B$13</c:f>
              <c:strCache>
                <c:ptCount val="1"/>
                <c:pt idx="0">
                  <c:v>Privacidad y data governance</c:v>
                </c:pt>
              </c:strCache>
            </c:strRef>
          </c:tx>
          <c:spPr>
            <a:ln w="25400" cap="rnd">
              <a:noFill/>
              <a:round/>
            </a:ln>
            <a:effectLst/>
          </c:spPr>
          <c:marker>
            <c:symbol val="circle"/>
            <c:size val="5"/>
            <c:spPr>
              <a:solidFill>
                <a:srgbClr val="FF00FF"/>
              </a:solidFill>
              <a:ln w="9525">
                <a:solidFill>
                  <a:srgbClr val="FF00FF"/>
                </a:solidFill>
                <a:prstDash val="solid"/>
              </a:ln>
              <a:effectLst/>
            </c:spPr>
          </c:marker>
          <c:dPt>
            <c:idx val="0"/>
            <c:marker>
              <c:symbol val="circle"/>
              <c:size val="20"/>
              <c:spPr>
                <a:solidFill>
                  <a:srgbClr val="FF00FF"/>
                </a:solidFill>
                <a:ln w="9525">
                  <a:solidFill>
                    <a:srgbClr val="FF00FF"/>
                  </a:solidFill>
                  <a:prstDash val="solid"/>
                </a:ln>
                <a:effectLst/>
              </c:spPr>
            </c:marker>
            <c:bubble3D val="0"/>
            <c:extLst>
              <c:ext xmlns:c16="http://schemas.microsoft.com/office/drawing/2014/chart" uri="{C3380CC4-5D6E-409C-BE32-E72D297353CC}">
                <c16:uniqueId val="{00000006-1FBB-412B-824C-A7B8CDE1B432}"/>
              </c:ext>
            </c:extLst>
          </c:dPt>
          <c:xVal>
            <c:numRef>
              <c:f>'Evaluación de riesgos totales'!$D$13</c:f>
              <c:numCache>
                <c:formatCode>_(* #,##0.00_);_(* \(#,##0.00\);_(* "-"??_);_(@_)</c:formatCode>
                <c:ptCount val="1"/>
                <c:pt idx="0">
                  <c:v>1.3157894736842106</c:v>
                </c:pt>
              </c:numCache>
            </c:numRef>
          </c:xVal>
          <c:yVal>
            <c:numRef>
              <c:f>'Evaluación de riesgos totales'!$C$13</c:f>
              <c:numCache>
                <c:formatCode>_(* #,##0.00_);_(* \(#,##0.00\);_(* "-"??_);_(@_)</c:formatCode>
                <c:ptCount val="1"/>
                <c:pt idx="0">
                  <c:v>3</c:v>
                </c:pt>
              </c:numCache>
            </c:numRef>
          </c:yVal>
          <c:smooth val="0"/>
          <c:extLst>
            <c:ext xmlns:c16="http://schemas.microsoft.com/office/drawing/2014/chart" uri="{C3380CC4-5D6E-409C-BE32-E72D297353CC}">
              <c16:uniqueId val="{00000003-1FBB-412B-824C-A7B8CDE1B432}"/>
            </c:ext>
          </c:extLst>
        </c:ser>
        <c:dLbls>
          <c:showLegendKey val="0"/>
          <c:showVal val="0"/>
          <c:showCatName val="0"/>
          <c:showSerName val="0"/>
          <c:showPercent val="0"/>
          <c:showBubbleSize val="0"/>
        </c:dLbls>
        <c:axId val="1253331471"/>
        <c:axId val="1253331887"/>
      </c:scatterChart>
      <c:valAx>
        <c:axId val="1253331471"/>
        <c:scaling>
          <c:orientation val="minMax"/>
        </c:scaling>
        <c:delete val="0"/>
        <c:axPos val="b"/>
        <c:title>
          <c:tx>
            <c:strRef>
              <c:f>'Evaluación de riesgos totales'!$D$7</c:f>
              <c:strCache>
                <c:ptCount val="1"/>
                <c:pt idx="0">
                  <c:v>IMPACTO</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53331887"/>
        <c:crosses val="autoZero"/>
        <c:crossBetween val="midCat"/>
      </c:valAx>
      <c:valAx>
        <c:axId val="1253331887"/>
        <c:scaling>
          <c:orientation val="minMax"/>
        </c:scaling>
        <c:delete val="0"/>
        <c:axPos val="l"/>
        <c:title>
          <c:tx>
            <c:strRef>
              <c:f>'Evaluación de riesgos totales'!$C$7</c:f>
              <c:strCache>
                <c:ptCount val="1"/>
                <c:pt idx="0">
                  <c:v>PROBABILIDAD</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53331471"/>
        <c:crosses val="autoZero"/>
        <c:crossBetween val="midCat"/>
      </c:valAx>
      <c:spPr>
        <a:gradFill flip="none" rotWithShape="1">
          <a:gsLst>
            <a:gs pos="1000">
              <a:srgbClr val="92D050"/>
            </a:gs>
            <a:gs pos="21000">
              <a:srgbClr val="FFFF00"/>
            </a:gs>
            <a:gs pos="60000">
              <a:srgbClr val="FFC000"/>
            </a:gs>
            <a:gs pos="39000">
              <a:srgbClr val="F2D07A"/>
            </a:gs>
            <a:gs pos="100000">
              <a:srgbClr val="FF0000"/>
            </a:gs>
          </a:gsLst>
          <a:path path="circle">
            <a:fillToRect t="100000" r="100000"/>
          </a:path>
          <a:tileRect l="-100000" b="-10000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5397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6</xdr:col>
      <xdr:colOff>388937</xdr:colOff>
      <xdr:row>2</xdr:row>
      <xdr:rowOff>11682</xdr:rowOff>
    </xdr:from>
    <xdr:to>
      <xdr:col>8</xdr:col>
      <xdr:colOff>1970</xdr:colOff>
      <xdr:row>4</xdr:row>
      <xdr:rowOff>65087</xdr:rowOff>
    </xdr:to>
    <xdr:pic>
      <xdr:nvPicPr>
        <xdr:cNvPr id="3" name="Picture 2" descr="kpmgbluelogo.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97687" y="376807"/>
          <a:ext cx="1176721" cy="4217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3251200</xdr:colOff>
      <xdr:row>1</xdr:row>
      <xdr:rowOff>23586</xdr:rowOff>
    </xdr:from>
    <xdr:to>
      <xdr:col>4</xdr:col>
      <xdr:colOff>955605</xdr:colOff>
      <xdr:row>3</xdr:row>
      <xdr:rowOff>98138</xdr:rowOff>
    </xdr:to>
    <xdr:pic>
      <xdr:nvPicPr>
        <xdr:cNvPr id="2" name="Picture 1" descr="kpmgbluelogo.jp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33025" y="214086"/>
          <a:ext cx="942906" cy="4555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185965</xdr:colOff>
      <xdr:row>1</xdr:row>
      <xdr:rowOff>31749</xdr:rowOff>
    </xdr:from>
    <xdr:to>
      <xdr:col>1</xdr:col>
      <xdr:colOff>1384092</xdr:colOff>
      <xdr:row>3</xdr:row>
      <xdr:rowOff>122012</xdr:rowOff>
    </xdr:to>
    <xdr:pic>
      <xdr:nvPicPr>
        <xdr:cNvPr id="2" name="Picture 1" descr="kpmgbluelogo.jpg">
          <a:extLst>
            <a:ext uri="{FF2B5EF4-FFF2-40B4-BE49-F238E27FC236}">
              <a16:creationId xmlns:a16="http://schemas.microsoft.com/office/drawing/2014/main" id="{85149B63-F844-46AF-B244-B570B6D4FA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5965" y="269874"/>
          <a:ext cx="1431262" cy="5696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583405</xdr:colOff>
      <xdr:row>11</xdr:row>
      <xdr:rowOff>142873</xdr:rowOff>
    </xdr:from>
    <xdr:to>
      <xdr:col>6</xdr:col>
      <xdr:colOff>559593</xdr:colOff>
      <xdr:row>34</xdr:row>
      <xdr:rowOff>145252</xdr:rowOff>
    </xdr:to>
    <xdr:graphicFrame macro="">
      <xdr:nvGraphicFramePr>
        <xdr:cNvPr id="10" name="Chart 5">
          <a:extLst>
            <a:ext uri="{FF2B5EF4-FFF2-40B4-BE49-F238E27FC236}">
              <a16:creationId xmlns:a16="http://schemas.microsoft.com/office/drawing/2014/main" id="{BC8B50C9-5175-A887-64DE-DA29446505EE}"/>
            </a:ext>
            <a:ext uri="{147F2762-F138-4A5C-976F-8EAC2B608ADB}">
              <a16:predDERef xmlns:a16="http://schemas.microsoft.com/office/drawing/2014/main" pred="{85149B63-F844-46AF-B244-B570B6D4FA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arcenilla Torres, Maria" id="{F3EEEED6-A556-4B31-9045-7D73953B4978}" userId="S::mbarcenilla@kpmg.es::f25f34d0-7654-437b-ba19-8b5520c7bc5c" providerId="AD"/>
</personList>
</file>

<file path=xl/theme/theme1.xml><?xml version="1.0" encoding="utf-8"?>
<a:theme xmlns:a="http://schemas.openxmlformats.org/drawingml/2006/main" name="Office Theme">
  <a:themeElements>
    <a:clrScheme name="Violeta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7" dT="2023-10-25T09:17:11.16" personId="{F3EEEED6-A556-4B31-9045-7D73953B4978}" id="{3DF40DE4-FE94-4AD0-900F-556AE9C8EA6A}">
    <text>Revisar - informativo, aplica en este ámbito ¿?</text>
  </threadedComment>
  <threadedComment ref="D67" dT="2023-10-25T09:19:57.66" personId="{F3EEEED6-A556-4B31-9045-7D73953B4978}" id="{F65658B9-DD29-43A3-97F9-872BB297CF1D}" done="1">
    <text>Para el usuario ¿?</text>
  </threadedComment>
  <threadedComment ref="D77" dT="2023-10-25T09:23:24.31" personId="{F3EEEED6-A556-4B31-9045-7D73953B4978}" id="{59E9A81A-5951-43EA-B48C-F9050D6F16F0}">
    <text>Separar esta pregunta en dos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338D"/>
  </sheetPr>
  <dimension ref="B3:I29"/>
  <sheetViews>
    <sheetView showGridLines="0" zoomScale="120" zoomScaleNormal="120" workbookViewId="0">
      <selection activeCell="F14" sqref="F14"/>
    </sheetView>
  </sheetViews>
  <sheetFormatPr defaultColWidth="9.140625" defaultRowHeight="15" x14ac:dyDescent="0.25"/>
  <cols>
    <col min="1" max="1" width="3.140625" customWidth="1"/>
    <col min="2" max="2" width="27.42578125" bestFit="1" customWidth="1"/>
    <col min="3" max="3" width="7.85546875" customWidth="1"/>
    <col min="4" max="4" width="31" bestFit="1" customWidth="1"/>
    <col min="5" max="5" width="16.140625" customWidth="1"/>
    <col min="6" max="8" width="11.42578125" customWidth="1"/>
  </cols>
  <sheetData>
    <row r="3" spans="2:9" s="1" customFormat="1" x14ac:dyDescent="0.25">
      <c r="B3" s="25" t="s">
        <v>0</v>
      </c>
      <c r="C3" s="181"/>
      <c r="D3" s="181"/>
      <c r="E3" s="9"/>
      <c r="F3" s="9"/>
      <c r="G3" s="9"/>
      <c r="H3" s="9"/>
      <c r="I3" s="6"/>
    </row>
    <row r="4" spans="2:9" s="1" customFormat="1" x14ac:dyDescent="0.25">
      <c r="B4" s="25" t="s">
        <v>1</v>
      </c>
      <c r="C4" s="181"/>
      <c r="D4" s="181"/>
      <c r="E4" s="9"/>
      <c r="F4" s="9"/>
      <c r="G4" s="9"/>
      <c r="H4" s="9"/>
      <c r="I4" s="6"/>
    </row>
    <row r="5" spans="2:9" s="1" customFormat="1" x14ac:dyDescent="0.25">
      <c r="B5" s="25" t="s">
        <v>2</v>
      </c>
      <c r="C5" s="182"/>
      <c r="D5" s="182"/>
      <c r="E5" s="9"/>
      <c r="F5" s="9"/>
      <c r="G5" s="9"/>
      <c r="H5" s="9"/>
      <c r="I5" s="6"/>
    </row>
    <row r="6" spans="2:9" s="1" customFormat="1" x14ac:dyDescent="0.25">
      <c r="B6" s="6"/>
      <c r="C6" s="9"/>
      <c r="D6" s="9"/>
      <c r="E6" s="9"/>
      <c r="F6" s="9"/>
      <c r="G6" s="9"/>
      <c r="H6" s="9"/>
      <c r="I6" s="6"/>
    </row>
    <row r="7" spans="2:9" s="1" customFormat="1" ht="15" customHeight="1" x14ac:dyDescent="0.25">
      <c r="B7" s="183" t="s">
        <v>3</v>
      </c>
      <c r="C7" s="184" t="str">
        <f ca="1">MID(CELL("FILENAME",C4),FIND("[",CELL("FILENAME",C4))+1,FIND("]",CELL("FILENAME",C4))-FIND("[",CELL("FILENAME",M22))-1)</f>
        <v>data.xlsm</v>
      </c>
      <c r="D7" s="184"/>
      <c r="E7" s="184"/>
      <c r="F7" s="184"/>
      <c r="G7" s="184"/>
      <c r="H7" s="184"/>
      <c r="I7" s="6"/>
    </row>
    <row r="8" spans="2:9" s="1" customFormat="1" ht="15" customHeight="1" x14ac:dyDescent="0.25">
      <c r="B8" s="183"/>
      <c r="C8" s="184"/>
      <c r="D8" s="184"/>
      <c r="E8" s="184"/>
      <c r="F8" s="184"/>
      <c r="G8" s="184"/>
      <c r="H8" s="184"/>
      <c r="I8" s="6"/>
    </row>
    <row r="9" spans="2:9" s="1" customFormat="1" ht="15" customHeight="1" x14ac:dyDescent="0.25">
      <c r="B9" s="26" t="s">
        <v>4</v>
      </c>
      <c r="C9" s="184">
        <f ca="1">_xlfn.SHEETS()</f>
        <v>7</v>
      </c>
      <c r="D9" s="184"/>
      <c r="E9" s="184"/>
      <c r="F9" s="184"/>
      <c r="G9" s="184"/>
      <c r="H9" s="184"/>
      <c r="I9" s="6"/>
    </row>
    <row r="10" spans="2:9" s="1" customFormat="1" ht="52.5" customHeight="1" x14ac:dyDescent="0.25">
      <c r="B10" s="26" t="s">
        <v>5</v>
      </c>
      <c r="C10" s="179" t="s">
        <v>6</v>
      </c>
      <c r="D10" s="179"/>
      <c r="E10" s="179"/>
      <c r="F10" s="179"/>
      <c r="G10" s="179"/>
      <c r="H10" s="179"/>
      <c r="I10" s="6"/>
    </row>
    <row r="11" spans="2:9" s="1" customFormat="1" ht="14.45" customHeight="1" x14ac:dyDescent="0.25">
      <c r="B11" s="180" t="s">
        <v>7</v>
      </c>
      <c r="C11" s="8" t="s">
        <v>8</v>
      </c>
      <c r="D11" s="8" t="s">
        <v>9</v>
      </c>
      <c r="E11" s="8" t="s">
        <v>10</v>
      </c>
      <c r="F11" s="8" t="s">
        <v>11</v>
      </c>
      <c r="G11" s="8" t="s">
        <v>12</v>
      </c>
      <c r="H11" s="8" t="s">
        <v>13</v>
      </c>
      <c r="I11" s="7"/>
    </row>
    <row r="12" spans="2:9" s="1" customFormat="1" ht="14.45" customHeight="1" x14ac:dyDescent="0.25">
      <c r="B12" s="180"/>
      <c r="C12" s="16" t="s">
        <v>14</v>
      </c>
      <c r="D12" s="19" t="s">
        <v>15</v>
      </c>
      <c r="E12" s="16" t="s">
        <v>16</v>
      </c>
      <c r="F12" s="20">
        <v>45208</v>
      </c>
      <c r="G12" s="21"/>
      <c r="H12" s="21"/>
      <c r="I12" s="6"/>
    </row>
    <row r="13" spans="2:9" s="1" customFormat="1" ht="14.45" customHeight="1" x14ac:dyDescent="0.25">
      <c r="B13" s="180"/>
      <c r="C13" s="16" t="s">
        <v>17</v>
      </c>
      <c r="D13" s="22" t="s">
        <v>18</v>
      </c>
      <c r="E13" s="16" t="s">
        <v>16</v>
      </c>
      <c r="F13" s="20">
        <v>45216</v>
      </c>
      <c r="G13" s="21"/>
      <c r="H13" s="24"/>
      <c r="I13" s="6"/>
    </row>
    <row r="14" spans="2:9" s="1" customFormat="1" ht="14.45" customHeight="1" x14ac:dyDescent="0.25">
      <c r="B14" s="180"/>
      <c r="C14" s="16" t="s">
        <v>19</v>
      </c>
      <c r="D14" s="22" t="s">
        <v>20</v>
      </c>
      <c r="E14" s="16" t="s">
        <v>16</v>
      </c>
      <c r="F14" s="20">
        <v>45216</v>
      </c>
      <c r="G14" s="21"/>
      <c r="H14" s="17"/>
      <c r="I14" s="6"/>
    </row>
    <row r="15" spans="2:9" s="1" customFormat="1" ht="14.45" customHeight="1" x14ac:dyDescent="0.25">
      <c r="B15" s="180"/>
      <c r="C15" s="16"/>
      <c r="D15" s="22"/>
      <c r="E15" s="22"/>
      <c r="F15" s="23"/>
      <c r="G15" s="21"/>
      <c r="H15" s="24"/>
      <c r="I15" s="6"/>
    </row>
    <row r="16" spans="2:9" s="1" customFormat="1" ht="14.45" customHeight="1" x14ac:dyDescent="0.25">
      <c r="B16" s="180"/>
      <c r="C16" s="16"/>
      <c r="D16" s="22"/>
      <c r="E16" s="22"/>
      <c r="F16" s="23"/>
      <c r="G16" s="21"/>
      <c r="H16" s="24"/>
      <c r="I16" s="6"/>
    </row>
    <row r="17" spans="2:9" s="1" customFormat="1" ht="14.45" customHeight="1" x14ac:dyDescent="0.25">
      <c r="B17" s="180"/>
      <c r="C17" s="16"/>
      <c r="D17" s="22"/>
      <c r="E17" s="22"/>
      <c r="F17" s="23"/>
      <c r="G17" s="22"/>
      <c r="H17" s="23"/>
      <c r="I17" s="6"/>
    </row>
    <row r="18" spans="2:9" s="1" customFormat="1" x14ac:dyDescent="0.25"/>
    <row r="19" spans="2:9" s="1" customFormat="1" x14ac:dyDescent="0.25"/>
    <row r="20" spans="2:9" s="1" customFormat="1" ht="6" customHeight="1" x14ac:dyDescent="0.25"/>
    <row r="21" spans="2:9" s="1" customFormat="1" x14ac:dyDescent="0.25"/>
    <row r="22" spans="2:9" s="1" customFormat="1" x14ac:dyDescent="0.25"/>
    <row r="23" spans="2:9" s="1" customFormat="1" x14ac:dyDescent="0.25"/>
    <row r="24" spans="2:9" s="1" customFormat="1" x14ac:dyDescent="0.25"/>
    <row r="25" spans="2:9" s="1" customFormat="1" x14ac:dyDescent="0.25"/>
    <row r="26" spans="2:9" s="1" customFormat="1" ht="6" customHeight="1" x14ac:dyDescent="0.25"/>
    <row r="27" spans="2:9" s="1" customFormat="1" x14ac:dyDescent="0.25"/>
    <row r="28" spans="2:9" s="1" customFormat="1" x14ac:dyDescent="0.25"/>
    <row r="29" spans="2:9" s="1" customFormat="1" x14ac:dyDescent="0.25"/>
  </sheetData>
  <mergeCells count="8">
    <mergeCell ref="C10:H10"/>
    <mergeCell ref="B11:B17"/>
    <mergeCell ref="C3:D3"/>
    <mergeCell ref="C4:D4"/>
    <mergeCell ref="C5:D5"/>
    <mergeCell ref="B7:B8"/>
    <mergeCell ref="C7:H8"/>
    <mergeCell ref="C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C6007E"/>
  </sheetPr>
  <dimension ref="B5:H49"/>
  <sheetViews>
    <sheetView showGridLines="0" tabSelected="1" zoomScale="70" zoomScaleNormal="70" workbookViewId="0">
      <pane ySplit="6" topLeftCell="A7" activePane="bottomLeft" state="frozen"/>
      <selection pane="bottomLeft" activeCell="B5" sqref="B5:D5"/>
    </sheetView>
  </sheetViews>
  <sheetFormatPr defaultColWidth="9.140625" defaultRowHeight="15" x14ac:dyDescent="0.25"/>
  <cols>
    <col min="1" max="1" width="9.140625" customWidth="1"/>
    <col min="2" max="2" width="26.140625" customWidth="1"/>
    <col min="3" max="3" width="70.42578125" customWidth="1"/>
    <col min="4" max="4" width="37" customWidth="1"/>
    <col min="5" max="5" width="40.85546875" customWidth="1"/>
    <col min="6" max="6" width="31.5703125" customWidth="1"/>
    <col min="7" max="7" width="34" customWidth="1"/>
    <col min="8" max="8" width="34.5703125" customWidth="1"/>
    <col min="9" max="9" width="16.28515625" customWidth="1"/>
    <col min="10" max="10" width="13.85546875" customWidth="1"/>
    <col min="11" max="11" width="15.42578125" customWidth="1"/>
    <col min="12" max="12" width="12.5703125" customWidth="1"/>
    <col min="13" max="13" width="18.28515625" customWidth="1"/>
  </cols>
  <sheetData>
    <row r="5" spans="2:8" ht="27.75" x14ac:dyDescent="0.25">
      <c r="B5" s="192" t="s">
        <v>21</v>
      </c>
      <c r="C5" s="192"/>
      <c r="D5" s="192"/>
      <c r="E5" s="28"/>
    </row>
    <row r="6" spans="2:8" ht="21" x14ac:dyDescent="0.25">
      <c r="B6" s="5" t="s">
        <v>22</v>
      </c>
      <c r="C6" s="11" t="s">
        <v>23</v>
      </c>
      <c r="D6" s="11" t="s">
        <v>24</v>
      </c>
      <c r="E6" s="11" t="s">
        <v>25</v>
      </c>
    </row>
    <row r="7" spans="2:8" ht="181.5" customHeight="1" x14ac:dyDescent="0.25">
      <c r="B7" s="50" t="s">
        <v>26</v>
      </c>
      <c r="C7" s="31" t="s">
        <v>27</v>
      </c>
      <c r="D7" s="31"/>
      <c r="E7" s="31" t="s">
        <v>28</v>
      </c>
    </row>
    <row r="8" spans="2:8" ht="185.45" customHeight="1" x14ac:dyDescent="0.25">
      <c r="B8" s="51" t="s">
        <v>29</v>
      </c>
      <c r="C8" s="31" t="s">
        <v>30</v>
      </c>
      <c r="D8" s="18"/>
      <c r="E8" s="31" t="s">
        <v>31</v>
      </c>
    </row>
    <row r="9" spans="2:8" ht="200.45" customHeight="1" x14ac:dyDescent="0.25">
      <c r="B9" s="52" t="s">
        <v>32</v>
      </c>
      <c r="C9" s="31" t="s">
        <v>33</v>
      </c>
      <c r="D9" s="18"/>
      <c r="E9" s="31" t="s">
        <v>34</v>
      </c>
    </row>
    <row r="10" spans="2:8" ht="212.1" customHeight="1" x14ac:dyDescent="0.25">
      <c r="B10" s="49" t="s">
        <v>35</v>
      </c>
      <c r="C10" s="31" t="s">
        <v>36</v>
      </c>
      <c r="D10" s="18"/>
      <c r="E10" s="31" t="s">
        <v>37</v>
      </c>
    </row>
    <row r="11" spans="2:8" ht="213" customHeight="1" x14ac:dyDescent="0.25">
      <c r="B11" s="48" t="s">
        <v>38</v>
      </c>
      <c r="C11" s="31" t="s">
        <v>39</v>
      </c>
      <c r="D11" s="18"/>
      <c r="E11" s="31" t="s">
        <v>28</v>
      </c>
    </row>
    <row r="14" spans="2:8" ht="21" x14ac:dyDescent="0.25">
      <c r="B14" s="191"/>
      <c r="C14" s="191"/>
      <c r="D14" s="189" t="s">
        <v>40</v>
      </c>
      <c r="E14" s="189"/>
      <c r="F14" s="189"/>
      <c r="G14" s="189"/>
      <c r="H14" s="189"/>
    </row>
    <row r="15" spans="2:8" ht="21" x14ac:dyDescent="0.25">
      <c r="D15" s="30" t="s">
        <v>41</v>
      </c>
      <c r="E15" s="30" t="s">
        <v>42</v>
      </c>
      <c r="F15" s="30" t="s">
        <v>43</v>
      </c>
      <c r="G15" s="30" t="s">
        <v>44</v>
      </c>
      <c r="H15" s="30" t="s">
        <v>45</v>
      </c>
    </row>
    <row r="16" spans="2:8" ht="21" x14ac:dyDescent="0.25">
      <c r="B16" s="189" t="s">
        <v>46</v>
      </c>
      <c r="C16" s="190"/>
      <c r="D16" s="30">
        <v>1</v>
      </c>
      <c r="E16" s="30">
        <v>2</v>
      </c>
      <c r="F16" s="30">
        <v>3</v>
      </c>
      <c r="G16" s="30">
        <v>4</v>
      </c>
      <c r="H16" s="30">
        <v>5</v>
      </c>
    </row>
    <row r="17" spans="2:8" ht="21" x14ac:dyDescent="0.25">
      <c r="B17" s="30" t="s">
        <v>47</v>
      </c>
      <c r="C17" s="30">
        <v>5</v>
      </c>
      <c r="D17" s="33">
        <f t="shared" ref="D17:H21" si="0">$C17*D$16</f>
        <v>5</v>
      </c>
      <c r="E17" s="33">
        <f t="shared" si="0"/>
        <v>10</v>
      </c>
      <c r="F17" s="14">
        <f t="shared" si="0"/>
        <v>15</v>
      </c>
      <c r="G17" s="34">
        <f t="shared" si="0"/>
        <v>20</v>
      </c>
      <c r="H17" s="35">
        <f t="shared" si="0"/>
        <v>25</v>
      </c>
    </row>
    <row r="18" spans="2:8" ht="21" x14ac:dyDescent="0.25">
      <c r="B18" s="30" t="s">
        <v>48</v>
      </c>
      <c r="C18" s="30">
        <v>4</v>
      </c>
      <c r="D18" s="32">
        <f t="shared" si="0"/>
        <v>4</v>
      </c>
      <c r="E18" s="33">
        <f t="shared" si="0"/>
        <v>8</v>
      </c>
      <c r="F18" s="14">
        <f t="shared" si="0"/>
        <v>12</v>
      </c>
      <c r="G18" s="34">
        <f t="shared" si="0"/>
        <v>16</v>
      </c>
      <c r="H18" s="34">
        <f t="shared" si="0"/>
        <v>20</v>
      </c>
    </row>
    <row r="19" spans="2:8" ht="21" x14ac:dyDescent="0.25">
      <c r="B19" s="30" t="s">
        <v>49</v>
      </c>
      <c r="C19" s="30">
        <v>3</v>
      </c>
      <c r="D19" s="32">
        <f t="shared" si="0"/>
        <v>3</v>
      </c>
      <c r="E19" s="33">
        <f t="shared" si="0"/>
        <v>6</v>
      </c>
      <c r="F19" s="33">
        <f t="shared" si="0"/>
        <v>9</v>
      </c>
      <c r="G19" s="14">
        <f t="shared" si="0"/>
        <v>12</v>
      </c>
      <c r="H19" s="14">
        <f t="shared" si="0"/>
        <v>15</v>
      </c>
    </row>
    <row r="20" spans="2:8" ht="21" x14ac:dyDescent="0.25">
      <c r="B20" s="30" t="s">
        <v>50</v>
      </c>
      <c r="C20" s="30">
        <v>2</v>
      </c>
      <c r="D20" s="32">
        <f t="shared" si="0"/>
        <v>2</v>
      </c>
      <c r="E20" s="32">
        <f t="shared" si="0"/>
        <v>4</v>
      </c>
      <c r="F20" s="33">
        <f t="shared" si="0"/>
        <v>6</v>
      </c>
      <c r="G20" s="33">
        <f t="shared" si="0"/>
        <v>8</v>
      </c>
      <c r="H20" s="33">
        <f t="shared" si="0"/>
        <v>10</v>
      </c>
    </row>
    <row r="21" spans="2:8" ht="21" x14ac:dyDescent="0.25">
      <c r="B21" s="30" t="s">
        <v>51</v>
      </c>
      <c r="C21" s="30">
        <v>1</v>
      </c>
      <c r="D21" s="32">
        <f t="shared" si="0"/>
        <v>1</v>
      </c>
      <c r="E21" s="32">
        <f t="shared" si="0"/>
        <v>2</v>
      </c>
      <c r="F21" s="32">
        <f t="shared" si="0"/>
        <v>3</v>
      </c>
      <c r="G21" s="32">
        <f t="shared" si="0"/>
        <v>4</v>
      </c>
      <c r="H21" s="33">
        <f t="shared" si="0"/>
        <v>5</v>
      </c>
    </row>
    <row r="24" spans="2:8" ht="21" x14ac:dyDescent="0.25">
      <c r="B24" s="11" t="s">
        <v>46</v>
      </c>
      <c r="C24" s="188" t="s">
        <v>23</v>
      </c>
      <c r="D24" s="188"/>
      <c r="E24" s="188"/>
    </row>
    <row r="25" spans="2:8" ht="30.75" customHeight="1" x14ac:dyDescent="0.3">
      <c r="B25" s="43" t="s">
        <v>51</v>
      </c>
      <c r="C25" s="185" t="s">
        <v>52</v>
      </c>
      <c r="D25" s="186"/>
      <c r="E25" s="187"/>
    </row>
    <row r="26" spans="2:8" ht="27" customHeight="1" x14ac:dyDescent="0.3">
      <c r="B26" s="44" t="s">
        <v>50</v>
      </c>
      <c r="C26" s="185" t="s">
        <v>53</v>
      </c>
      <c r="D26" s="186"/>
      <c r="E26" s="187"/>
    </row>
    <row r="27" spans="2:8" ht="29.25" customHeight="1" x14ac:dyDescent="0.3">
      <c r="B27" s="45" t="s">
        <v>49</v>
      </c>
      <c r="C27" s="185" t="s">
        <v>54</v>
      </c>
      <c r="D27" s="186"/>
      <c r="E27" s="187"/>
    </row>
    <row r="28" spans="2:8" ht="29.25" customHeight="1" x14ac:dyDescent="0.3">
      <c r="B28" s="46" t="s">
        <v>48</v>
      </c>
      <c r="C28" s="185" t="s">
        <v>55</v>
      </c>
      <c r="D28" s="186"/>
      <c r="E28" s="187"/>
    </row>
    <row r="29" spans="2:8" ht="31.5" customHeight="1" x14ac:dyDescent="0.3">
      <c r="B29" s="47" t="s">
        <v>47</v>
      </c>
      <c r="C29" s="185" t="s">
        <v>56</v>
      </c>
      <c r="D29" s="186"/>
      <c r="E29" s="187"/>
    </row>
    <row r="32" spans="2:8" ht="21" x14ac:dyDescent="0.25">
      <c r="B32" s="11" t="s">
        <v>40</v>
      </c>
      <c r="C32" s="188" t="s">
        <v>23</v>
      </c>
      <c r="D32" s="188"/>
      <c r="E32" s="188"/>
    </row>
    <row r="33" spans="2:5" ht="28.5" customHeight="1" x14ac:dyDescent="0.3">
      <c r="B33" s="43" t="s">
        <v>41</v>
      </c>
      <c r="C33" s="185" t="s">
        <v>57</v>
      </c>
      <c r="D33" s="186"/>
      <c r="E33" s="187"/>
    </row>
    <row r="34" spans="2:5" ht="26.25" customHeight="1" x14ac:dyDescent="0.3">
      <c r="B34" s="44" t="s">
        <v>42</v>
      </c>
      <c r="C34" s="185" t="s">
        <v>58</v>
      </c>
      <c r="D34" s="186"/>
      <c r="E34" s="187"/>
    </row>
    <row r="35" spans="2:5" ht="25.5" customHeight="1" x14ac:dyDescent="0.3">
      <c r="B35" s="45" t="s">
        <v>43</v>
      </c>
      <c r="C35" s="185" t="s">
        <v>59</v>
      </c>
      <c r="D35" s="186"/>
      <c r="E35" s="187"/>
    </row>
    <row r="36" spans="2:5" ht="22.5" customHeight="1" x14ac:dyDescent="0.3">
      <c r="B36" s="46" t="s">
        <v>44</v>
      </c>
      <c r="C36" s="185" t="s">
        <v>60</v>
      </c>
      <c r="D36" s="186"/>
      <c r="E36" s="187"/>
    </row>
    <row r="37" spans="2:5" ht="24.75" customHeight="1" x14ac:dyDescent="0.3">
      <c r="B37" s="47" t="s">
        <v>45</v>
      </c>
      <c r="C37" s="185" t="s">
        <v>61</v>
      </c>
      <c r="D37" s="186"/>
      <c r="E37" s="187"/>
    </row>
    <row r="40" spans="2:5" ht="21" x14ac:dyDescent="0.25">
      <c r="B40" s="11" t="s">
        <v>62</v>
      </c>
      <c r="C40" s="188" t="s">
        <v>23</v>
      </c>
      <c r="D40" s="188"/>
      <c r="E40" s="188"/>
    </row>
    <row r="41" spans="2:5" ht="21.95" customHeight="1" x14ac:dyDescent="0.25">
      <c r="B41" s="30" t="s">
        <v>63</v>
      </c>
      <c r="C41" s="185" t="s">
        <v>64</v>
      </c>
      <c r="D41" s="186"/>
      <c r="E41" s="187"/>
    </row>
    <row r="42" spans="2:5" ht="21" x14ac:dyDescent="0.25">
      <c r="B42" s="30" t="s">
        <v>65</v>
      </c>
      <c r="C42" s="185" t="s">
        <v>66</v>
      </c>
      <c r="D42" s="186"/>
      <c r="E42" s="187"/>
    </row>
    <row r="43" spans="2:5" ht="21" x14ac:dyDescent="0.25">
      <c r="B43" s="30" t="s">
        <v>67</v>
      </c>
      <c r="C43" s="185" t="s">
        <v>68</v>
      </c>
      <c r="D43" s="186"/>
      <c r="E43" s="187"/>
    </row>
    <row r="49" ht="21" customHeight="1" x14ac:dyDescent="0.25"/>
  </sheetData>
  <mergeCells count="20">
    <mergeCell ref="B16:C16"/>
    <mergeCell ref="B14:C14"/>
    <mergeCell ref="D14:H14"/>
    <mergeCell ref="B5:D5"/>
    <mergeCell ref="C24:E24"/>
    <mergeCell ref="C25:E25"/>
    <mergeCell ref="C26:E26"/>
    <mergeCell ref="C27:E27"/>
    <mergeCell ref="C32:E32"/>
    <mergeCell ref="C28:E28"/>
    <mergeCell ref="C29:E29"/>
    <mergeCell ref="C42:E42"/>
    <mergeCell ref="C43:E43"/>
    <mergeCell ref="C33:E33"/>
    <mergeCell ref="C34:E34"/>
    <mergeCell ref="C36:E36"/>
    <mergeCell ref="C40:E40"/>
    <mergeCell ref="C41:E41"/>
    <mergeCell ref="C37:E37"/>
    <mergeCell ref="C35:E35"/>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theme="5"/>
  </sheetPr>
  <dimension ref="A1:M52"/>
  <sheetViews>
    <sheetView workbookViewId="0">
      <selection activeCell="B27" sqref="B27"/>
    </sheetView>
  </sheetViews>
  <sheetFormatPr defaultColWidth="10.85546875" defaultRowHeight="15" x14ac:dyDescent="0.25"/>
  <cols>
    <col min="2" max="2" width="30" customWidth="1"/>
    <col min="3" max="3" width="13" customWidth="1"/>
    <col min="4" max="4" width="23.7109375" customWidth="1"/>
    <col min="6" max="6" width="21.85546875" customWidth="1"/>
    <col min="9" max="10" width="26.140625" bestFit="1" customWidth="1"/>
    <col min="11" max="11" width="13.7109375" customWidth="1"/>
    <col min="13" max="13" width="13.7109375" customWidth="1"/>
  </cols>
  <sheetData>
    <row r="1" spans="1:13" x14ac:dyDescent="0.25">
      <c r="A1" s="193" t="s">
        <v>69</v>
      </c>
      <c r="B1" s="193"/>
      <c r="C1" s="193"/>
      <c r="D1" s="193"/>
      <c r="E1" s="193"/>
      <c r="F1" s="193"/>
      <c r="G1" s="193"/>
      <c r="H1" s="193"/>
      <c r="I1" s="193"/>
      <c r="J1" s="193"/>
    </row>
    <row r="3" spans="1:13" x14ac:dyDescent="0.25">
      <c r="B3" s="2" t="s">
        <v>46</v>
      </c>
      <c r="D3" s="2" t="s">
        <v>40</v>
      </c>
      <c r="F3" s="2" t="s">
        <v>62</v>
      </c>
      <c r="H3" s="2" t="s">
        <v>70</v>
      </c>
      <c r="I3" s="2" t="s">
        <v>71</v>
      </c>
      <c r="J3" s="2" t="s">
        <v>72</v>
      </c>
      <c r="K3" s="2" t="s">
        <v>73</v>
      </c>
      <c r="L3" s="2" t="s">
        <v>74</v>
      </c>
      <c r="M3" s="2" t="s">
        <v>62</v>
      </c>
    </row>
    <row r="4" spans="1:13" ht="15.75" x14ac:dyDescent="0.25">
      <c r="B4" s="15">
        <v>1</v>
      </c>
      <c r="D4" s="15">
        <v>1</v>
      </c>
      <c r="F4" s="15">
        <v>1</v>
      </c>
      <c r="H4" s="55" t="s">
        <v>75</v>
      </c>
      <c r="I4" s="53" t="s">
        <v>41</v>
      </c>
      <c r="J4" s="53" t="s">
        <v>51</v>
      </c>
      <c r="K4" s="53" t="s">
        <v>63</v>
      </c>
      <c r="L4" s="53" t="s">
        <v>76</v>
      </c>
      <c r="M4" s="53" t="s">
        <v>571</v>
      </c>
    </row>
    <row r="5" spans="1:13" ht="15.75" x14ac:dyDescent="0.25">
      <c r="B5" s="36">
        <v>2</v>
      </c>
      <c r="D5" s="36">
        <v>2</v>
      </c>
      <c r="F5" s="14">
        <v>2</v>
      </c>
      <c r="H5" s="54" t="s">
        <v>77</v>
      </c>
      <c r="I5" s="39" t="s">
        <v>42</v>
      </c>
      <c r="J5" s="39" t="s">
        <v>50</v>
      </c>
      <c r="K5" s="39" t="s">
        <v>65</v>
      </c>
      <c r="L5" s="39" t="s">
        <v>63</v>
      </c>
      <c r="M5" s="39" t="s">
        <v>572</v>
      </c>
    </row>
    <row r="6" spans="1:13" ht="15.75" x14ac:dyDescent="0.25">
      <c r="B6" s="37">
        <v>3</v>
      </c>
      <c r="D6" s="38">
        <v>3</v>
      </c>
      <c r="F6" s="13">
        <v>3</v>
      </c>
      <c r="H6" s="56">
        <v>1</v>
      </c>
      <c r="I6" s="40" t="s">
        <v>43</v>
      </c>
      <c r="J6" s="40" t="s">
        <v>49</v>
      </c>
      <c r="K6" s="40" t="s">
        <v>67</v>
      </c>
      <c r="L6" s="40" t="s">
        <v>65</v>
      </c>
      <c r="M6" s="40" t="s">
        <v>573</v>
      </c>
    </row>
    <row r="7" spans="1:13" ht="15.75" x14ac:dyDescent="0.25">
      <c r="B7" s="14">
        <v>4</v>
      </c>
      <c r="D7" s="14">
        <v>4</v>
      </c>
      <c r="H7" s="57">
        <v>0</v>
      </c>
      <c r="I7" s="41" t="s">
        <v>44</v>
      </c>
      <c r="J7" s="41" t="s">
        <v>48</v>
      </c>
      <c r="L7" s="87" t="s">
        <v>67</v>
      </c>
    </row>
    <row r="8" spans="1:13" ht="15.75" x14ac:dyDescent="0.25">
      <c r="B8" s="13">
        <v>5</v>
      </c>
      <c r="D8" s="13">
        <v>5</v>
      </c>
      <c r="I8" s="42" t="s">
        <v>45</v>
      </c>
      <c r="J8" s="42" t="s">
        <v>47</v>
      </c>
      <c r="L8" s="88" t="s">
        <v>78</v>
      </c>
    </row>
    <row r="9" spans="1:13" x14ac:dyDescent="0.25">
      <c r="A9" s="193" t="s">
        <v>79</v>
      </c>
      <c r="B9" s="193"/>
      <c r="C9" s="193"/>
      <c r="D9" s="193"/>
      <c r="E9" s="193"/>
      <c r="F9" s="193"/>
      <c r="G9" s="193"/>
      <c r="H9" s="193"/>
      <c r="I9" s="193"/>
    </row>
    <row r="11" spans="1:13" x14ac:dyDescent="0.25">
      <c r="B11" s="2" t="s">
        <v>80</v>
      </c>
    </row>
    <row r="12" spans="1:13" x14ac:dyDescent="0.25">
      <c r="B12" t="s">
        <v>81</v>
      </c>
    </row>
    <row r="13" spans="1:13" x14ac:dyDescent="0.25">
      <c r="B13" t="s">
        <v>82</v>
      </c>
    </row>
    <row r="14" spans="1:13" x14ac:dyDescent="0.25">
      <c r="B14" t="s">
        <v>83</v>
      </c>
    </row>
    <row r="15" spans="1:13" x14ac:dyDescent="0.25">
      <c r="B15" t="s">
        <v>84</v>
      </c>
    </row>
    <row r="17" spans="2:2" x14ac:dyDescent="0.25">
      <c r="B17" s="2" t="s">
        <v>85</v>
      </c>
    </row>
    <row r="18" spans="2:2" x14ac:dyDescent="0.25">
      <c r="B18" t="s">
        <v>86</v>
      </c>
    </row>
    <row r="19" spans="2:2" x14ac:dyDescent="0.25">
      <c r="B19" t="s">
        <v>87</v>
      </c>
    </row>
    <row r="20" spans="2:2" x14ac:dyDescent="0.25">
      <c r="B20" t="s">
        <v>88</v>
      </c>
    </row>
    <row r="21" spans="2:2" x14ac:dyDescent="0.25">
      <c r="B21" t="s">
        <v>89</v>
      </c>
    </row>
    <row r="22" spans="2:2" x14ac:dyDescent="0.25">
      <c r="B22" t="s">
        <v>90</v>
      </c>
    </row>
    <row r="23" spans="2:2" x14ac:dyDescent="0.25">
      <c r="B23" t="s">
        <v>91</v>
      </c>
    </row>
    <row r="24" spans="2:2" x14ac:dyDescent="0.25">
      <c r="B24" t="s">
        <v>92</v>
      </c>
    </row>
    <row r="26" spans="2:2" x14ac:dyDescent="0.25">
      <c r="B26" s="2" t="s">
        <v>93</v>
      </c>
    </row>
    <row r="27" spans="2:2" x14ac:dyDescent="0.25">
      <c r="B27" t="s">
        <v>94</v>
      </c>
    </row>
    <row r="28" spans="2:2" x14ac:dyDescent="0.25">
      <c r="B28" t="s">
        <v>95</v>
      </c>
    </row>
    <row r="29" spans="2:2" x14ac:dyDescent="0.25">
      <c r="B29" t="s">
        <v>96</v>
      </c>
    </row>
    <row r="30" spans="2:2" x14ac:dyDescent="0.25">
      <c r="B30" t="s">
        <v>97</v>
      </c>
    </row>
    <row r="31" spans="2:2" x14ac:dyDescent="0.25">
      <c r="B31" t="s">
        <v>98</v>
      </c>
    </row>
    <row r="33" spans="2:2" x14ac:dyDescent="0.25">
      <c r="B33" s="2" t="s">
        <v>99</v>
      </c>
    </row>
    <row r="34" spans="2:2" x14ac:dyDescent="0.25">
      <c r="B34" s="89" t="s">
        <v>100</v>
      </c>
    </row>
    <row r="35" spans="2:2" x14ac:dyDescent="0.25">
      <c r="B35" s="89" t="s">
        <v>101</v>
      </c>
    </row>
    <row r="36" spans="2:2" x14ac:dyDescent="0.25">
      <c r="B36" s="89" t="s">
        <v>102</v>
      </c>
    </row>
    <row r="37" spans="2:2" x14ac:dyDescent="0.25">
      <c r="B37" s="89" t="s">
        <v>103</v>
      </c>
    </row>
    <row r="38" spans="2:2" x14ac:dyDescent="0.25">
      <c r="B38" s="89" t="s">
        <v>104</v>
      </c>
    </row>
    <row r="39" spans="2:2" x14ac:dyDescent="0.25">
      <c r="B39" s="89" t="s">
        <v>105</v>
      </c>
    </row>
    <row r="40" spans="2:2" x14ac:dyDescent="0.25">
      <c r="B40" s="89" t="s">
        <v>106</v>
      </c>
    </row>
    <row r="41" spans="2:2" x14ac:dyDescent="0.25">
      <c r="B41" s="89" t="s">
        <v>107</v>
      </c>
    </row>
    <row r="42" spans="2:2" x14ac:dyDescent="0.25">
      <c r="B42" s="89" t="s">
        <v>108</v>
      </c>
    </row>
    <row r="43" spans="2:2" x14ac:dyDescent="0.25">
      <c r="B43" s="89" t="s">
        <v>109</v>
      </c>
    </row>
    <row r="44" spans="2:2" x14ac:dyDescent="0.25">
      <c r="B44" s="89" t="s">
        <v>110</v>
      </c>
    </row>
    <row r="45" spans="2:2" x14ac:dyDescent="0.25">
      <c r="B45" s="89" t="s">
        <v>111</v>
      </c>
    </row>
    <row r="46" spans="2:2" x14ac:dyDescent="0.25">
      <c r="B46" s="89" t="s">
        <v>112</v>
      </c>
    </row>
    <row r="47" spans="2:2" x14ac:dyDescent="0.25">
      <c r="B47" s="89" t="s">
        <v>113</v>
      </c>
    </row>
    <row r="48" spans="2:2" x14ac:dyDescent="0.25">
      <c r="B48" s="89" t="s">
        <v>114</v>
      </c>
    </row>
    <row r="49" spans="2:2" x14ac:dyDescent="0.25">
      <c r="B49" s="89" t="s">
        <v>115</v>
      </c>
    </row>
    <row r="50" spans="2:2" x14ac:dyDescent="0.25">
      <c r="B50" s="89" t="s">
        <v>116</v>
      </c>
    </row>
    <row r="51" spans="2:2" x14ac:dyDescent="0.25">
      <c r="B51" s="89" t="s">
        <v>117</v>
      </c>
    </row>
    <row r="52" spans="2:2" x14ac:dyDescent="0.25">
      <c r="B52" s="89" t="s">
        <v>118</v>
      </c>
    </row>
  </sheetData>
  <mergeCells count="2">
    <mergeCell ref="A9:I9"/>
    <mergeCell ref="A1:J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91A48-58B0-462A-B2D1-87F9240A9F10}">
  <sheetPr codeName="Hoja9">
    <tabColor rgb="FF0091DA"/>
  </sheetPr>
  <dimension ref="A1:AK102"/>
  <sheetViews>
    <sheetView showGridLines="0" zoomScale="70" zoomScaleNormal="70" workbookViewId="0">
      <pane xSplit="6" ySplit="1" topLeftCell="G27" activePane="bottomRight" state="frozen"/>
      <selection pane="topRight" activeCell="Q1" sqref="Q1"/>
      <selection pane="bottomLeft" activeCell="A9" sqref="A9"/>
      <selection pane="bottomRight" activeCell="E35" sqref="E35"/>
    </sheetView>
  </sheetViews>
  <sheetFormatPr defaultColWidth="9.140625" defaultRowHeight="18.75" x14ac:dyDescent="0.25"/>
  <cols>
    <col min="1" max="1" width="23.85546875" style="27" customWidth="1"/>
    <col min="2" max="2" width="19.28515625" style="4" customWidth="1"/>
    <col min="3" max="3" width="27.28515625" style="10" customWidth="1"/>
    <col min="4" max="4" width="62.7109375" customWidth="1"/>
    <col min="5" max="5" width="37.85546875" style="4" customWidth="1"/>
    <col min="6" max="7" width="25.5703125" style="4" customWidth="1"/>
    <col min="8" max="8" width="28.42578125" style="12" customWidth="1"/>
    <col min="9" max="12" width="32.5703125" customWidth="1"/>
    <col min="13" max="13" width="28.42578125" style="12" customWidth="1"/>
    <col min="14" max="17" width="32.5703125" customWidth="1"/>
    <col min="18" max="18" width="28.42578125" style="12" customWidth="1"/>
    <col min="19" max="22" width="32.5703125" customWidth="1"/>
    <col min="23" max="23" width="28.42578125" style="12" customWidth="1"/>
    <col min="24" max="27" width="32.5703125" customWidth="1"/>
    <col min="28" max="28" width="28.42578125" style="12" customWidth="1"/>
    <col min="29" max="32" width="32.5703125" customWidth="1"/>
    <col min="33" max="33" width="37.5703125" customWidth="1"/>
    <col min="34" max="34" width="31.7109375" customWidth="1"/>
    <col min="35" max="35" width="30.7109375" customWidth="1"/>
    <col min="36" max="37" width="33" customWidth="1"/>
  </cols>
  <sheetData>
    <row r="1" spans="1:37" ht="93" customHeight="1" x14ac:dyDescent="0.25">
      <c r="A1" s="165" t="s">
        <v>119</v>
      </c>
      <c r="B1" s="165" t="s">
        <v>120</v>
      </c>
      <c r="C1" s="165" t="s">
        <v>121</v>
      </c>
      <c r="D1" s="166" t="s">
        <v>122</v>
      </c>
      <c r="E1" s="166" t="s">
        <v>123</v>
      </c>
      <c r="F1" s="166" t="s">
        <v>124</v>
      </c>
      <c r="G1" s="166" t="s">
        <v>125</v>
      </c>
      <c r="H1" s="167" t="s">
        <v>596</v>
      </c>
      <c r="I1" s="167" t="s">
        <v>597</v>
      </c>
      <c r="J1" s="167" t="s">
        <v>598</v>
      </c>
      <c r="K1" s="167" t="s">
        <v>626</v>
      </c>
      <c r="L1" s="167" t="s">
        <v>599</v>
      </c>
      <c r="M1" s="169" t="s">
        <v>600</v>
      </c>
      <c r="N1" s="169" t="s">
        <v>601</v>
      </c>
      <c r="O1" s="169" t="s">
        <v>602</v>
      </c>
      <c r="P1" s="169" t="s">
        <v>603</v>
      </c>
      <c r="Q1" s="169" t="s">
        <v>604</v>
      </c>
      <c r="R1" s="170" t="s">
        <v>605</v>
      </c>
      <c r="S1" s="170" t="s">
        <v>606</v>
      </c>
      <c r="T1" s="170" t="s">
        <v>607</v>
      </c>
      <c r="U1" s="170" t="s">
        <v>608</v>
      </c>
      <c r="V1" s="170" t="s">
        <v>609</v>
      </c>
      <c r="W1" s="171" t="s">
        <v>610</v>
      </c>
      <c r="X1" s="171" t="s">
        <v>611</v>
      </c>
      <c r="Y1" s="171" t="s">
        <v>612</v>
      </c>
      <c r="Z1" s="171" t="s">
        <v>613</v>
      </c>
      <c r="AA1" s="171" t="s">
        <v>614</v>
      </c>
      <c r="AB1" s="172" t="s">
        <v>615</v>
      </c>
      <c r="AC1" s="172" t="s">
        <v>616</v>
      </c>
      <c r="AD1" s="172" t="s">
        <v>617</v>
      </c>
      <c r="AE1" s="172" t="s">
        <v>618</v>
      </c>
      <c r="AF1" s="172" t="s">
        <v>619</v>
      </c>
      <c r="AG1" s="168" t="s">
        <v>620</v>
      </c>
      <c r="AH1" s="168" t="s">
        <v>621</v>
      </c>
      <c r="AI1" s="168" t="s">
        <v>622</v>
      </c>
      <c r="AJ1" s="168" t="s">
        <v>623</v>
      </c>
      <c r="AK1" s="168" t="s">
        <v>624</v>
      </c>
    </row>
    <row r="2" spans="1:37" ht="49.5" customHeight="1" x14ac:dyDescent="0.25">
      <c r="A2" s="176" t="s">
        <v>136</v>
      </c>
      <c r="B2" s="161" t="s">
        <v>137</v>
      </c>
      <c r="C2" s="64" t="s">
        <v>138</v>
      </c>
      <c r="D2" s="59" t="s">
        <v>139</v>
      </c>
      <c r="E2" s="96" t="s">
        <v>140</v>
      </c>
      <c r="F2" s="58"/>
      <c r="G2" s="101"/>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row>
    <row r="3" spans="1:37" ht="46.5" customHeight="1" x14ac:dyDescent="0.25">
      <c r="A3" s="176" t="s">
        <v>136</v>
      </c>
      <c r="B3" s="161" t="s">
        <v>137</v>
      </c>
      <c r="C3" s="64" t="s">
        <v>141</v>
      </c>
      <c r="D3" s="59" t="s">
        <v>142</v>
      </c>
      <c r="E3" s="96" t="s">
        <v>143</v>
      </c>
      <c r="F3" s="58"/>
      <c r="G3" s="101"/>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row>
    <row r="4" spans="1:37" ht="74.25" customHeight="1" x14ac:dyDescent="0.25">
      <c r="A4" s="176" t="s">
        <v>136</v>
      </c>
      <c r="B4" s="161" t="s">
        <v>137</v>
      </c>
      <c r="C4" s="64" t="s">
        <v>144</v>
      </c>
      <c r="D4" s="59" t="s">
        <v>145</v>
      </c>
      <c r="E4" s="96" t="s">
        <v>96</v>
      </c>
      <c r="F4" s="58"/>
      <c r="G4" s="101"/>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row>
    <row r="5" spans="1:37" ht="36.75" customHeight="1" x14ac:dyDescent="0.25">
      <c r="A5" s="176" t="s">
        <v>136</v>
      </c>
      <c r="B5" s="161" t="s">
        <v>137</v>
      </c>
      <c r="C5" s="64" t="s">
        <v>146</v>
      </c>
      <c r="D5" s="59" t="s">
        <v>147</v>
      </c>
      <c r="E5" s="97" t="s">
        <v>148</v>
      </c>
      <c r="F5" s="58"/>
      <c r="G5" s="101"/>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row>
    <row r="6" spans="1:37" ht="27" customHeight="1" x14ac:dyDescent="0.25">
      <c r="A6" s="176" t="s">
        <v>136</v>
      </c>
      <c r="B6" s="161" t="s">
        <v>137</v>
      </c>
      <c r="C6" s="64" t="s">
        <v>149</v>
      </c>
      <c r="D6" s="59" t="s">
        <v>150</v>
      </c>
      <c r="E6" s="98">
        <v>45292</v>
      </c>
      <c r="F6" s="58"/>
      <c r="G6" s="101"/>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row>
    <row r="7" spans="1:37" ht="38.25" customHeight="1" x14ac:dyDescent="0.25">
      <c r="A7" s="176" t="s">
        <v>136</v>
      </c>
      <c r="B7" s="161" t="s">
        <v>137</v>
      </c>
      <c r="C7" s="64" t="s">
        <v>151</v>
      </c>
      <c r="D7" s="59" t="s">
        <v>152</v>
      </c>
      <c r="E7" s="96" t="s">
        <v>83</v>
      </c>
      <c r="F7" s="58">
        <f>IF($E$7="Open Source",2,IF($E$7="Propietaria",1,IF($E$7="Ambas",2,IF($E$7="Prendiente de determinar",0,0))))</f>
        <v>2</v>
      </c>
      <c r="G7" s="58" t="s">
        <v>46</v>
      </c>
      <c r="H7" s="65"/>
      <c r="I7" s="65"/>
      <c r="J7" s="65"/>
      <c r="K7" s="65"/>
      <c r="L7" s="65"/>
      <c r="M7" s="61" t="s">
        <v>49</v>
      </c>
      <c r="N7" s="61" t="s">
        <v>43</v>
      </c>
      <c r="O7" s="65"/>
      <c r="P7" s="65"/>
      <c r="Q7" s="65"/>
      <c r="R7" s="65"/>
      <c r="S7" s="65"/>
      <c r="T7" s="65"/>
      <c r="U7" s="65"/>
      <c r="V7" s="65"/>
      <c r="W7" s="65"/>
      <c r="X7" s="65"/>
      <c r="Y7" s="65"/>
      <c r="Z7" s="65"/>
      <c r="AA7" s="65"/>
      <c r="AB7" s="65"/>
      <c r="AC7" s="65"/>
      <c r="AD7" s="65"/>
      <c r="AE7" s="65"/>
      <c r="AF7" s="65"/>
      <c r="AG7" s="65"/>
      <c r="AH7" s="65"/>
      <c r="AI7" s="65"/>
      <c r="AJ7" s="65"/>
      <c r="AK7" s="65"/>
    </row>
    <row r="8" spans="1:37" ht="42" customHeight="1" x14ac:dyDescent="0.25">
      <c r="A8" s="176" t="s">
        <v>136</v>
      </c>
      <c r="B8" s="161" t="s">
        <v>137</v>
      </c>
      <c r="C8" s="64" t="s">
        <v>153</v>
      </c>
      <c r="D8" s="59" t="s">
        <v>154</v>
      </c>
      <c r="E8" s="96" t="s">
        <v>155</v>
      </c>
      <c r="F8" s="58"/>
      <c r="G8" s="101"/>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row>
    <row r="9" spans="1:37" ht="30" x14ac:dyDescent="0.25">
      <c r="A9" s="176" t="s">
        <v>136</v>
      </c>
      <c r="B9" s="164" t="s">
        <v>156</v>
      </c>
      <c r="C9" s="64" t="s">
        <v>157</v>
      </c>
      <c r="D9" s="59" t="s">
        <v>158</v>
      </c>
      <c r="E9" s="96" t="s">
        <v>159</v>
      </c>
      <c r="F9" s="58"/>
      <c r="G9" s="58" t="s">
        <v>40</v>
      </c>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row>
    <row r="10" spans="1:37" ht="42" customHeight="1" x14ac:dyDescent="0.25">
      <c r="A10" s="176" t="s">
        <v>136</v>
      </c>
      <c r="B10" s="164" t="s">
        <v>156</v>
      </c>
      <c r="C10" s="64" t="s">
        <v>160</v>
      </c>
      <c r="D10" s="59" t="s">
        <v>161</v>
      </c>
      <c r="E10" s="99" t="s">
        <v>75</v>
      </c>
      <c r="F10" s="60">
        <f>IF(E10="SI",1,2)</f>
        <v>1</v>
      </c>
      <c r="G10" s="58" t="s">
        <v>40</v>
      </c>
      <c r="H10" s="65"/>
      <c r="I10" s="65"/>
      <c r="J10" s="65"/>
      <c r="K10" s="65"/>
      <c r="L10" s="65"/>
      <c r="M10" s="61" t="s">
        <v>48</v>
      </c>
      <c r="N10" s="65"/>
      <c r="O10" s="65"/>
      <c r="P10" s="65"/>
      <c r="Q10" s="65"/>
      <c r="R10" s="65"/>
      <c r="S10" s="65"/>
      <c r="T10" s="65"/>
      <c r="U10" s="65"/>
      <c r="V10" s="65"/>
      <c r="W10" s="65"/>
      <c r="X10" s="65"/>
      <c r="Y10" s="65"/>
      <c r="Z10" s="65"/>
      <c r="AA10" s="65"/>
      <c r="AB10" s="65"/>
      <c r="AC10" s="65"/>
      <c r="AD10" s="65"/>
      <c r="AE10" s="65"/>
      <c r="AF10" s="65"/>
      <c r="AG10" s="65"/>
      <c r="AH10" s="65"/>
      <c r="AI10" s="65"/>
      <c r="AJ10" s="65"/>
      <c r="AK10" s="65"/>
    </row>
    <row r="11" spans="1:37" ht="68.25" customHeight="1" x14ac:dyDescent="0.25">
      <c r="A11" s="176" t="s">
        <v>136</v>
      </c>
      <c r="B11" s="164" t="s">
        <v>156</v>
      </c>
      <c r="C11" s="64" t="s">
        <v>162</v>
      </c>
      <c r="D11" s="59" t="s">
        <v>163</v>
      </c>
      <c r="E11" s="99" t="s">
        <v>75</v>
      </c>
      <c r="F11" s="60">
        <f>IF(E11="SI",1,0)</f>
        <v>1</v>
      </c>
      <c r="G11" s="58" t="s">
        <v>40</v>
      </c>
      <c r="H11" s="65"/>
      <c r="I11" s="65"/>
      <c r="J11" s="65"/>
      <c r="K11" s="65"/>
      <c r="L11" s="65"/>
      <c r="M11" s="65"/>
      <c r="N11" s="61" t="s">
        <v>43</v>
      </c>
      <c r="O11" s="65"/>
      <c r="P11" s="65"/>
      <c r="Q11" s="65"/>
      <c r="R11" s="65"/>
      <c r="S11" s="65"/>
      <c r="T11" s="65"/>
      <c r="U11" s="65"/>
      <c r="V11" s="65"/>
      <c r="W11" s="65"/>
      <c r="X11" s="65"/>
      <c r="Y11" s="65"/>
      <c r="Z11" s="65"/>
      <c r="AA11" s="65"/>
      <c r="AB11" s="65"/>
      <c r="AC11" s="65"/>
      <c r="AD11" s="65"/>
      <c r="AE11" s="65"/>
      <c r="AF11" s="65"/>
      <c r="AG11" s="65"/>
      <c r="AH11" s="65"/>
      <c r="AI11" s="65"/>
      <c r="AJ11" s="65"/>
      <c r="AK11" s="65"/>
    </row>
    <row r="12" spans="1:37" ht="30.6" customHeight="1" x14ac:dyDescent="0.25">
      <c r="A12" s="176" t="s">
        <v>136</v>
      </c>
      <c r="B12" s="164" t="s">
        <v>156</v>
      </c>
      <c r="C12" s="64" t="s">
        <v>164</v>
      </c>
      <c r="D12" s="59" t="s">
        <v>165</v>
      </c>
      <c r="E12" s="99" t="s">
        <v>77</v>
      </c>
      <c r="F12" s="60">
        <f>IF(E12="SI",1,0)</f>
        <v>0</v>
      </c>
      <c r="G12" s="58" t="s">
        <v>40</v>
      </c>
      <c r="H12" s="58"/>
      <c r="I12" s="63">
        <f>+IF($E12=Listas!$H$4,Listas!$D$5,0)</f>
        <v>0</v>
      </c>
      <c r="J12" s="65"/>
      <c r="K12" s="65"/>
      <c r="L12" s="65"/>
      <c r="M12" s="63"/>
      <c r="N12" s="63">
        <f>+IF($E12=Listas!$H$4,Listas!$D$5,0)</f>
        <v>0</v>
      </c>
      <c r="O12" s="80"/>
      <c r="P12" s="80"/>
      <c r="Q12" s="80"/>
      <c r="R12" s="63"/>
      <c r="S12" s="63"/>
      <c r="T12" s="80"/>
      <c r="U12" s="80"/>
      <c r="V12" s="80"/>
      <c r="W12" s="63"/>
      <c r="X12" s="63"/>
      <c r="Y12" s="80"/>
      <c r="Z12" s="80"/>
      <c r="AA12" s="80"/>
      <c r="AB12" s="63"/>
      <c r="AC12" s="63">
        <f>+IF($E12=Listas!$H$4,Listas!$D$5,0)</f>
        <v>0</v>
      </c>
      <c r="AD12" s="80"/>
      <c r="AE12" s="80"/>
      <c r="AF12" s="80"/>
      <c r="AG12" s="63"/>
      <c r="AH12" s="63">
        <f>+IF($E12=Listas!$H$4,Listas!$D$5,0)</f>
        <v>0</v>
      </c>
      <c r="AI12" s="80"/>
      <c r="AJ12" s="80"/>
      <c r="AK12" s="80"/>
    </row>
    <row r="13" spans="1:37" ht="30.6" customHeight="1" x14ac:dyDescent="0.25">
      <c r="A13" s="176" t="s">
        <v>136</v>
      </c>
      <c r="B13" s="164" t="s">
        <v>156</v>
      </c>
      <c r="C13" s="64" t="s">
        <v>166</v>
      </c>
      <c r="D13" s="59" t="s">
        <v>167</v>
      </c>
      <c r="E13" s="99" t="s">
        <v>75</v>
      </c>
      <c r="F13" s="58"/>
      <c r="G13" s="58" t="s">
        <v>46</v>
      </c>
      <c r="H13" s="63">
        <f>+IF($E13=Listas!$H$5,Listas!$D$4,0)</f>
        <v>0</v>
      </c>
      <c r="I13" s="67"/>
      <c r="J13" s="65"/>
      <c r="K13" s="65"/>
      <c r="L13" s="65"/>
      <c r="M13" s="63"/>
      <c r="N13" s="67"/>
      <c r="O13" s="80"/>
      <c r="P13" s="80"/>
      <c r="Q13" s="80"/>
      <c r="R13" s="63">
        <f>+IF($E13=Listas!$H$5,Listas!$D$4,0)</f>
        <v>0</v>
      </c>
      <c r="S13" s="67"/>
      <c r="T13" s="80"/>
      <c r="U13" s="80"/>
      <c r="V13" s="80"/>
      <c r="W13" s="63"/>
      <c r="X13" s="67"/>
      <c r="Y13" s="80"/>
      <c r="Z13" s="80"/>
      <c r="AA13" s="80"/>
      <c r="AB13" s="63">
        <f>+IF($E13=Listas!$H$5,Listas!$D$4,0)</f>
        <v>0</v>
      </c>
      <c r="AC13" s="67"/>
      <c r="AD13" s="80"/>
      <c r="AE13" s="80"/>
      <c r="AF13" s="80"/>
      <c r="AG13" s="63">
        <f>+IF($E13=Listas!$H$5,Listas!$D$4,0)</f>
        <v>0</v>
      </c>
      <c r="AH13" s="67"/>
      <c r="AI13" s="80"/>
      <c r="AJ13" s="80"/>
      <c r="AK13" s="80"/>
    </row>
    <row r="14" spans="1:37" ht="30.6" customHeight="1" x14ac:dyDescent="0.25">
      <c r="A14" s="176" t="s">
        <v>136</v>
      </c>
      <c r="B14" s="164" t="s">
        <v>156</v>
      </c>
      <c r="C14" s="64" t="s">
        <v>168</v>
      </c>
      <c r="D14" s="59" t="s">
        <v>169</v>
      </c>
      <c r="E14" s="99" t="s">
        <v>75</v>
      </c>
      <c r="F14" s="58"/>
      <c r="G14" s="58" t="s">
        <v>46</v>
      </c>
      <c r="H14" s="63">
        <f>+IF($E14=Listas!$H$5,Listas!$D$4,0)</f>
        <v>0</v>
      </c>
      <c r="I14" s="67"/>
      <c r="J14" s="65"/>
      <c r="K14" s="65"/>
      <c r="L14" s="65"/>
      <c r="M14" s="63">
        <f>+IF($E14=Listas!$H$5,Listas!$D$4,0)</f>
        <v>0</v>
      </c>
      <c r="N14" s="67"/>
      <c r="O14" s="80"/>
      <c r="P14" s="80"/>
      <c r="Q14" s="80"/>
      <c r="R14" s="63">
        <f>+IF($E14=Listas!$H$5,Listas!$D$4,0)</f>
        <v>0</v>
      </c>
      <c r="S14" s="67"/>
      <c r="T14" s="80"/>
      <c r="U14" s="80"/>
      <c r="V14" s="80"/>
      <c r="W14" s="63">
        <f>+IF($E14=Listas!$H$5,Listas!$D$4,0)</f>
        <v>0</v>
      </c>
      <c r="X14" s="67"/>
      <c r="Y14" s="80"/>
      <c r="Z14" s="80"/>
      <c r="AA14" s="80"/>
      <c r="AB14" s="63">
        <f>+IF($E14=Listas!$H$5,Listas!$D$4,0)</f>
        <v>0</v>
      </c>
      <c r="AC14" s="67"/>
      <c r="AD14" s="80"/>
      <c r="AE14" s="80"/>
      <c r="AF14" s="80"/>
      <c r="AG14" s="63">
        <f>+IF($E14=Listas!$H$5,Listas!$D$4,0)</f>
        <v>0</v>
      </c>
      <c r="AH14" s="67"/>
      <c r="AI14" s="80"/>
      <c r="AJ14" s="80"/>
      <c r="AK14" s="80"/>
    </row>
    <row r="15" spans="1:37" ht="30.6" customHeight="1" x14ac:dyDescent="0.25">
      <c r="A15" s="176" t="s">
        <v>136</v>
      </c>
      <c r="B15" s="164" t="s">
        <v>156</v>
      </c>
      <c r="C15" s="64" t="s">
        <v>170</v>
      </c>
      <c r="D15" s="59" t="s">
        <v>171</v>
      </c>
      <c r="E15" s="99" t="s">
        <v>77</v>
      </c>
      <c r="F15" s="58"/>
      <c r="G15" s="58" t="s">
        <v>46</v>
      </c>
      <c r="H15" s="63">
        <f>+IF($E15=Listas!$H$4,Listas!$D$4,0)</f>
        <v>0</v>
      </c>
      <c r="I15" s="63">
        <f>+IF($E15=Listas!$H$4,Listas!$D$5,0)</f>
        <v>0</v>
      </c>
      <c r="J15" s="65"/>
      <c r="K15" s="65"/>
      <c r="L15" s="65"/>
      <c r="M15" s="63"/>
      <c r="N15" s="67"/>
      <c r="O15" s="80"/>
      <c r="P15" s="80"/>
      <c r="Q15" s="80"/>
      <c r="R15" s="63"/>
      <c r="S15" s="67"/>
      <c r="T15" s="80"/>
      <c r="U15" s="80"/>
      <c r="V15" s="80"/>
      <c r="W15" s="63"/>
      <c r="X15" s="67"/>
      <c r="Y15" s="80"/>
      <c r="Z15" s="80"/>
      <c r="AA15" s="80"/>
      <c r="AB15" s="63">
        <f>+IF($E15=Listas!$H$4,Listas!$D$4,0)</f>
        <v>0</v>
      </c>
      <c r="AC15" s="63">
        <f>+IF($E15=Listas!$H$4,Listas!$D$5,0)</f>
        <v>0</v>
      </c>
      <c r="AD15" s="80"/>
      <c r="AE15" s="80"/>
      <c r="AF15" s="80"/>
      <c r="AG15" s="63">
        <f>+IF($E15=Listas!$H$4,Listas!$D$4,0)</f>
        <v>0</v>
      </c>
      <c r="AH15" s="63">
        <f>+IF($E15=Listas!$H$4,Listas!$D$5,0)</f>
        <v>0</v>
      </c>
      <c r="AI15" s="80"/>
      <c r="AJ15" s="80"/>
      <c r="AK15" s="80"/>
    </row>
    <row r="16" spans="1:37" ht="30.6" customHeight="1" x14ac:dyDescent="0.25">
      <c r="A16" s="176" t="s">
        <v>136</v>
      </c>
      <c r="B16" s="164" t="s">
        <v>156</v>
      </c>
      <c r="C16" s="64" t="s">
        <v>172</v>
      </c>
      <c r="D16" s="59" t="s">
        <v>173</v>
      </c>
      <c r="E16" s="99" t="s">
        <v>77</v>
      </c>
      <c r="F16" s="58"/>
      <c r="G16" s="58" t="s">
        <v>174</v>
      </c>
      <c r="H16" s="63">
        <f>+IF($E16=Listas!$H$4,Listas!$D$4,0)</f>
        <v>0</v>
      </c>
      <c r="I16" s="67"/>
      <c r="J16" s="65"/>
      <c r="K16" s="65"/>
      <c r="L16" s="65"/>
      <c r="M16" s="63">
        <f>+IF($E16=Listas!$H$4,Listas!$D$4,0)</f>
        <v>0</v>
      </c>
      <c r="N16" s="67"/>
      <c r="O16" s="80"/>
      <c r="P16" s="80"/>
      <c r="Q16" s="80"/>
      <c r="R16" s="63">
        <f>+IF($E16=Listas!$H$4,Listas!$D$4,0)</f>
        <v>0</v>
      </c>
      <c r="S16" s="67"/>
      <c r="T16" s="80"/>
      <c r="U16" s="80"/>
      <c r="V16" s="80"/>
      <c r="W16" s="63"/>
      <c r="X16" s="63">
        <v>1</v>
      </c>
      <c r="Y16" s="80"/>
      <c r="Z16" s="80"/>
      <c r="AA16" s="80"/>
      <c r="AB16" s="63">
        <f>+IF($E16=Listas!$H$4,Listas!$D$4,0)</f>
        <v>0</v>
      </c>
      <c r="AC16" s="63">
        <f>+IF($E16=Listas!$H$4,Listas!$D$4,0)</f>
        <v>0</v>
      </c>
      <c r="AD16" s="80"/>
      <c r="AE16" s="80"/>
      <c r="AF16" s="80"/>
      <c r="AG16" s="63">
        <f>+IF($E16=Listas!$H$4,Listas!$D$4,0)</f>
        <v>0</v>
      </c>
      <c r="AH16" s="63">
        <f>+IF($E16=Listas!$H$4,Listas!$D$4,0)</f>
        <v>0</v>
      </c>
      <c r="AI16" s="80"/>
      <c r="AJ16" s="80"/>
      <c r="AK16" s="80"/>
    </row>
    <row r="17" spans="1:37" ht="30.6" customHeight="1" x14ac:dyDescent="0.25">
      <c r="A17" s="176" t="s">
        <v>136</v>
      </c>
      <c r="B17" s="164" t="s">
        <v>156</v>
      </c>
      <c r="C17" s="64" t="s">
        <v>175</v>
      </c>
      <c r="D17" s="59" t="s">
        <v>176</v>
      </c>
      <c r="E17" s="99" t="s">
        <v>77</v>
      </c>
      <c r="F17" s="58"/>
      <c r="G17" s="58" t="s">
        <v>174</v>
      </c>
      <c r="H17" s="63">
        <f>+IF($E17=Listas!$H$4,Listas!$D$4,0)</f>
        <v>0</v>
      </c>
      <c r="I17" s="67"/>
      <c r="J17" s="65"/>
      <c r="K17" s="65"/>
      <c r="L17" s="65"/>
      <c r="M17" s="63">
        <f>+IF($E17=Listas!$H$4,Listas!$D$4,0)</f>
        <v>0</v>
      </c>
      <c r="N17" s="67"/>
      <c r="O17" s="80"/>
      <c r="P17" s="80"/>
      <c r="Q17" s="80"/>
      <c r="R17" s="63">
        <f>+IF($E17=Listas!$H$4,Listas!$D$4,0)</f>
        <v>0</v>
      </c>
      <c r="S17" s="67"/>
      <c r="T17" s="80"/>
      <c r="U17" s="80"/>
      <c r="V17" s="80"/>
      <c r="W17" s="63"/>
      <c r="X17" s="63"/>
      <c r="Y17" s="80"/>
      <c r="Z17" s="80"/>
      <c r="AA17" s="80"/>
      <c r="AB17" s="63">
        <f>+IF($E17=Listas!$H$4,Listas!$D$4,0)</f>
        <v>0</v>
      </c>
      <c r="AC17" s="63">
        <f>+IF($E17=Listas!$H$4,Listas!$D$4,0)</f>
        <v>0</v>
      </c>
      <c r="AD17" s="80"/>
      <c r="AE17" s="80"/>
      <c r="AF17" s="80"/>
      <c r="AG17" s="63">
        <f>+IF($E17=Listas!$H$4,Listas!$D$4,0)</f>
        <v>0</v>
      </c>
      <c r="AH17" s="63">
        <f>+IF($E17=Listas!$H$4,Listas!$D$4,0)</f>
        <v>0</v>
      </c>
      <c r="AI17" s="80"/>
      <c r="AJ17" s="80"/>
      <c r="AK17" s="80"/>
    </row>
    <row r="18" spans="1:37" ht="34.5" customHeight="1" x14ac:dyDescent="0.25">
      <c r="A18" s="176" t="s">
        <v>136</v>
      </c>
      <c r="B18" s="164" t="s">
        <v>177</v>
      </c>
      <c r="C18" s="64" t="s">
        <v>178</v>
      </c>
      <c r="D18" s="59" t="s">
        <v>179</v>
      </c>
      <c r="E18" s="99" t="s">
        <v>75</v>
      </c>
      <c r="F18" s="60">
        <f>IF(E18="NO",0,1)</f>
        <v>1</v>
      </c>
      <c r="G18" s="58" t="s">
        <v>40</v>
      </c>
      <c r="H18" s="63"/>
      <c r="I18" s="66"/>
      <c r="J18" s="65"/>
      <c r="K18" s="65"/>
      <c r="L18" s="65"/>
      <c r="M18" s="63"/>
      <c r="N18" s="66"/>
      <c r="O18" s="80"/>
      <c r="P18" s="80"/>
      <c r="Q18" s="80"/>
      <c r="R18" s="63"/>
      <c r="S18" s="66"/>
      <c r="T18" s="80"/>
      <c r="U18" s="80"/>
      <c r="V18" s="80"/>
      <c r="W18" s="63"/>
      <c r="X18" s="66"/>
      <c r="Y18" s="80"/>
      <c r="Z18" s="80"/>
      <c r="AA18" s="80"/>
      <c r="AB18" s="63"/>
      <c r="AC18" s="66"/>
      <c r="AD18" s="80"/>
      <c r="AE18" s="80"/>
      <c r="AF18" s="80"/>
      <c r="AG18" s="63"/>
      <c r="AH18" s="66"/>
      <c r="AI18" s="80"/>
      <c r="AJ18" s="80"/>
      <c r="AK18" s="80"/>
    </row>
    <row r="19" spans="1:37" ht="71.099999999999994" customHeight="1" x14ac:dyDescent="0.25">
      <c r="A19" s="176" t="s">
        <v>136</v>
      </c>
      <c r="B19" s="164" t="s">
        <v>177</v>
      </c>
      <c r="C19" s="64" t="s">
        <v>180</v>
      </c>
      <c r="D19" s="59" t="s">
        <v>181</v>
      </c>
      <c r="E19" s="99" t="s">
        <v>75</v>
      </c>
      <c r="F19" s="60">
        <f>IF(E19="NO",0,1)</f>
        <v>1</v>
      </c>
      <c r="G19" s="58" t="s">
        <v>40</v>
      </c>
      <c r="H19" s="63"/>
      <c r="I19" s="66"/>
      <c r="J19" s="65"/>
      <c r="K19" s="65"/>
      <c r="L19" s="65"/>
      <c r="M19" s="63"/>
      <c r="N19" s="66"/>
      <c r="O19" s="80"/>
      <c r="P19" s="80"/>
      <c r="Q19" s="80"/>
      <c r="R19" s="63"/>
      <c r="S19" s="66"/>
      <c r="T19" s="80"/>
      <c r="U19" s="80"/>
      <c r="V19" s="80"/>
      <c r="W19" s="63"/>
      <c r="X19" s="66"/>
      <c r="Y19" s="80"/>
      <c r="Z19" s="80"/>
      <c r="AA19" s="80"/>
      <c r="AB19" s="63"/>
      <c r="AC19" s="66"/>
      <c r="AD19" s="80"/>
      <c r="AE19" s="80"/>
      <c r="AF19" s="80"/>
      <c r="AG19" s="63"/>
      <c r="AH19" s="66"/>
      <c r="AI19" s="80"/>
      <c r="AJ19" s="80"/>
      <c r="AK19" s="80"/>
    </row>
    <row r="20" spans="1:37" ht="71.099999999999994" customHeight="1" x14ac:dyDescent="0.25">
      <c r="A20" s="176" t="s">
        <v>136</v>
      </c>
      <c r="B20" s="164" t="s">
        <v>177</v>
      </c>
      <c r="C20" s="64" t="s">
        <v>182</v>
      </c>
      <c r="D20" s="59" t="s">
        <v>183</v>
      </c>
      <c r="E20" s="99" t="s">
        <v>77</v>
      </c>
      <c r="F20" s="60">
        <f>IF(E20="NO",0,1)</f>
        <v>0</v>
      </c>
      <c r="G20" s="58" t="s">
        <v>174</v>
      </c>
      <c r="H20" s="63"/>
      <c r="I20" s="66"/>
      <c r="J20" s="65"/>
      <c r="K20" s="65"/>
      <c r="L20" s="65"/>
      <c r="M20" s="63"/>
      <c r="N20" s="66"/>
      <c r="O20" s="80"/>
      <c r="P20" s="80"/>
      <c r="Q20" s="80"/>
      <c r="R20" s="63"/>
      <c r="S20" s="66"/>
      <c r="T20" s="80"/>
      <c r="U20" s="80"/>
      <c r="V20" s="80"/>
      <c r="W20" s="63"/>
      <c r="X20" s="66"/>
      <c r="Y20" s="80"/>
      <c r="Z20" s="80"/>
      <c r="AA20" s="80"/>
      <c r="AB20" s="63"/>
      <c r="AC20" s="66"/>
      <c r="AD20" s="80"/>
      <c r="AE20" s="80"/>
      <c r="AF20" s="80"/>
      <c r="AG20" s="63"/>
      <c r="AH20" s="66"/>
      <c r="AI20" s="80"/>
      <c r="AJ20" s="80"/>
      <c r="AK20" s="80"/>
    </row>
    <row r="21" spans="1:37" ht="71.099999999999994" customHeight="1" x14ac:dyDescent="0.25">
      <c r="A21" s="176" t="s">
        <v>136</v>
      </c>
      <c r="B21" s="164" t="s">
        <v>177</v>
      </c>
      <c r="C21" s="64" t="s">
        <v>184</v>
      </c>
      <c r="D21" s="59" t="s">
        <v>185</v>
      </c>
      <c r="E21" s="99" t="s">
        <v>77</v>
      </c>
      <c r="F21" s="60">
        <f>IF(E21="NO",0,1)</f>
        <v>0</v>
      </c>
      <c r="G21" s="58" t="s">
        <v>174</v>
      </c>
      <c r="H21" s="63"/>
      <c r="I21" s="66"/>
      <c r="J21" s="65"/>
      <c r="K21" s="65"/>
      <c r="L21" s="65"/>
      <c r="M21" s="63"/>
      <c r="N21" s="66"/>
      <c r="O21" s="80"/>
      <c r="P21" s="80"/>
      <c r="Q21" s="80"/>
      <c r="R21" s="63"/>
      <c r="S21" s="66"/>
      <c r="T21" s="80"/>
      <c r="U21" s="80"/>
      <c r="V21" s="80"/>
      <c r="W21" s="63"/>
      <c r="X21" s="66"/>
      <c r="Y21" s="80"/>
      <c r="Z21" s="80"/>
      <c r="AA21" s="80"/>
      <c r="AB21" s="63"/>
      <c r="AC21" s="66"/>
      <c r="AD21" s="80"/>
      <c r="AE21" s="80"/>
      <c r="AF21" s="80"/>
      <c r="AG21" s="63"/>
      <c r="AH21" s="66"/>
      <c r="AI21" s="80"/>
      <c r="AJ21" s="80"/>
      <c r="AK21" s="80"/>
    </row>
    <row r="22" spans="1:37" ht="71.099999999999994" customHeight="1" x14ac:dyDescent="0.25">
      <c r="A22" s="176" t="s">
        <v>136</v>
      </c>
      <c r="B22" s="164" t="s">
        <v>177</v>
      </c>
      <c r="C22" s="64" t="s">
        <v>186</v>
      </c>
      <c r="D22" s="59" t="s">
        <v>187</v>
      </c>
      <c r="E22" s="99" t="s">
        <v>77</v>
      </c>
      <c r="F22" s="60">
        <f>IF(E22="NO",0,1)</f>
        <v>0</v>
      </c>
      <c r="G22" s="58" t="s">
        <v>174</v>
      </c>
      <c r="H22" s="63"/>
      <c r="I22" s="66"/>
      <c r="J22" s="65"/>
      <c r="K22" s="65"/>
      <c r="L22" s="65"/>
      <c r="M22" s="63"/>
      <c r="N22" s="66"/>
      <c r="O22" s="80"/>
      <c r="P22" s="80"/>
      <c r="Q22" s="80"/>
      <c r="R22" s="63"/>
      <c r="S22" s="66"/>
      <c r="T22" s="80"/>
      <c r="U22" s="80"/>
      <c r="V22" s="80"/>
      <c r="W22" s="63"/>
      <c r="X22" s="66"/>
      <c r="Y22" s="80"/>
      <c r="Z22" s="80"/>
      <c r="AA22" s="80"/>
      <c r="AB22" s="63"/>
      <c r="AC22" s="66"/>
      <c r="AD22" s="80"/>
      <c r="AE22" s="80"/>
      <c r="AF22" s="80"/>
      <c r="AG22" s="63"/>
      <c r="AH22" s="66"/>
      <c r="AI22" s="80"/>
      <c r="AJ22" s="80"/>
      <c r="AK22" s="80"/>
    </row>
    <row r="23" spans="1:37" ht="71.099999999999994" customHeight="1" x14ac:dyDescent="0.25">
      <c r="A23" s="176" t="s">
        <v>136</v>
      </c>
      <c r="B23" s="164" t="s">
        <v>177</v>
      </c>
      <c r="C23" s="64" t="s">
        <v>188</v>
      </c>
      <c r="D23" s="59" t="s">
        <v>189</v>
      </c>
      <c r="E23" s="99" t="s">
        <v>75</v>
      </c>
      <c r="F23" s="60">
        <f>IF(E23="SI",0,1)</f>
        <v>0</v>
      </c>
      <c r="G23" s="58" t="s">
        <v>46</v>
      </c>
      <c r="H23" s="63"/>
      <c r="I23" s="66"/>
      <c r="J23" s="65"/>
      <c r="K23" s="65"/>
      <c r="L23" s="65"/>
      <c r="M23" s="63"/>
      <c r="N23" s="66"/>
      <c r="O23" s="80"/>
      <c r="P23" s="80"/>
      <c r="Q23" s="80"/>
      <c r="R23" s="63"/>
      <c r="S23" s="66"/>
      <c r="T23" s="80"/>
      <c r="U23" s="80"/>
      <c r="V23" s="80"/>
      <c r="W23" s="63"/>
      <c r="X23" s="66"/>
      <c r="Y23" s="80"/>
      <c r="Z23" s="80"/>
      <c r="AA23" s="80"/>
      <c r="AB23" s="63"/>
      <c r="AC23" s="66"/>
      <c r="AD23" s="80"/>
      <c r="AE23" s="80"/>
      <c r="AF23" s="80"/>
      <c r="AG23" s="63"/>
      <c r="AH23" s="66"/>
      <c r="AI23" s="80"/>
      <c r="AJ23" s="80"/>
      <c r="AK23" s="80"/>
    </row>
    <row r="24" spans="1:37" ht="71.099999999999994" customHeight="1" x14ac:dyDescent="0.25">
      <c r="A24" s="176" t="s">
        <v>136</v>
      </c>
      <c r="B24" s="164" t="s">
        <v>177</v>
      </c>
      <c r="C24" s="64" t="s">
        <v>190</v>
      </c>
      <c r="D24" s="59" t="s">
        <v>191</v>
      </c>
      <c r="E24" s="99" t="s">
        <v>75</v>
      </c>
      <c r="F24" s="60">
        <f t="shared" ref="F24:F29" si="0">IF(E24="SI",0,1)</f>
        <v>0</v>
      </c>
      <c r="G24" s="58" t="s">
        <v>46</v>
      </c>
      <c r="H24" s="63"/>
      <c r="I24" s="66"/>
      <c r="J24" s="65"/>
      <c r="K24" s="65"/>
      <c r="L24" s="65"/>
      <c r="M24" s="63"/>
      <c r="N24" s="66"/>
      <c r="O24" s="80"/>
      <c r="P24" s="80"/>
      <c r="Q24" s="80"/>
      <c r="R24" s="63"/>
      <c r="S24" s="66"/>
      <c r="T24" s="80"/>
      <c r="U24" s="80"/>
      <c r="V24" s="80"/>
      <c r="W24" s="63"/>
      <c r="X24" s="66"/>
      <c r="Y24" s="80"/>
      <c r="Z24" s="80"/>
      <c r="AA24" s="80"/>
      <c r="AB24" s="63"/>
      <c r="AC24" s="66"/>
      <c r="AD24" s="80"/>
      <c r="AE24" s="80"/>
      <c r="AF24" s="80"/>
      <c r="AG24" s="63"/>
      <c r="AH24" s="66"/>
      <c r="AI24" s="80"/>
      <c r="AJ24" s="80"/>
      <c r="AK24" s="80"/>
    </row>
    <row r="25" spans="1:37" ht="71.099999999999994" customHeight="1" x14ac:dyDescent="0.25">
      <c r="A25" s="176" t="s">
        <v>136</v>
      </c>
      <c r="B25" s="164" t="s">
        <v>177</v>
      </c>
      <c r="C25" s="64" t="s">
        <v>192</v>
      </c>
      <c r="D25" s="59" t="s">
        <v>193</v>
      </c>
      <c r="E25" s="99" t="s">
        <v>77</v>
      </c>
      <c r="F25" s="60">
        <f>IF(E25="NO",0,1)</f>
        <v>0</v>
      </c>
      <c r="G25" s="58" t="s">
        <v>46</v>
      </c>
      <c r="H25" s="63"/>
      <c r="I25" s="66"/>
      <c r="J25" s="65"/>
      <c r="K25" s="65"/>
      <c r="L25" s="65"/>
      <c r="M25" s="63"/>
      <c r="N25" s="66"/>
      <c r="O25" s="80"/>
      <c r="P25" s="80"/>
      <c r="Q25" s="80"/>
      <c r="R25" s="63"/>
      <c r="S25" s="66"/>
      <c r="T25" s="80"/>
      <c r="U25" s="80"/>
      <c r="V25" s="80"/>
      <c r="W25" s="63"/>
      <c r="X25" s="66"/>
      <c r="Y25" s="80"/>
      <c r="Z25" s="80"/>
      <c r="AA25" s="80"/>
      <c r="AB25" s="63"/>
      <c r="AC25" s="66"/>
      <c r="AD25" s="80"/>
      <c r="AE25" s="80"/>
      <c r="AF25" s="80"/>
      <c r="AG25" s="63"/>
      <c r="AH25" s="66"/>
      <c r="AI25" s="80"/>
      <c r="AJ25" s="80"/>
      <c r="AK25" s="80"/>
    </row>
    <row r="26" spans="1:37" ht="71.099999999999994" customHeight="1" x14ac:dyDescent="0.25">
      <c r="A26" s="176" t="s">
        <v>136</v>
      </c>
      <c r="B26" s="164" t="s">
        <v>177</v>
      </c>
      <c r="C26" s="64" t="s">
        <v>194</v>
      </c>
      <c r="D26" s="59" t="s">
        <v>195</v>
      </c>
      <c r="E26" s="99" t="s">
        <v>77</v>
      </c>
      <c r="F26" s="60">
        <f>IF(E26="NO",0,1)</f>
        <v>0</v>
      </c>
      <c r="G26" s="58" t="s">
        <v>46</v>
      </c>
      <c r="H26" s="63"/>
      <c r="I26" s="66"/>
      <c r="J26" s="65"/>
      <c r="K26" s="65"/>
      <c r="L26" s="65"/>
      <c r="M26" s="63"/>
      <c r="N26" s="66"/>
      <c r="O26" s="80"/>
      <c r="P26" s="80"/>
      <c r="Q26" s="80"/>
      <c r="R26" s="63"/>
      <c r="S26" s="66"/>
      <c r="T26" s="80"/>
      <c r="U26" s="80"/>
      <c r="V26" s="80"/>
      <c r="W26" s="63"/>
      <c r="X26" s="66"/>
      <c r="Y26" s="80"/>
      <c r="Z26" s="80"/>
      <c r="AA26" s="80"/>
      <c r="AB26" s="63"/>
      <c r="AC26" s="66"/>
      <c r="AD26" s="80"/>
      <c r="AE26" s="80"/>
      <c r="AF26" s="80"/>
      <c r="AG26" s="63"/>
      <c r="AH26" s="66"/>
      <c r="AI26" s="80"/>
      <c r="AJ26" s="80"/>
      <c r="AK26" s="80"/>
    </row>
    <row r="27" spans="1:37" ht="71.099999999999994" customHeight="1" x14ac:dyDescent="0.25">
      <c r="A27" s="176" t="s">
        <v>136</v>
      </c>
      <c r="B27" s="164" t="s">
        <v>177</v>
      </c>
      <c r="C27" s="64" t="s">
        <v>196</v>
      </c>
      <c r="D27" s="59" t="s">
        <v>197</v>
      </c>
      <c r="E27" s="99" t="s">
        <v>77</v>
      </c>
      <c r="F27" s="60">
        <f t="shared" si="0"/>
        <v>1</v>
      </c>
      <c r="G27" s="58" t="s">
        <v>46</v>
      </c>
      <c r="H27" s="63"/>
      <c r="I27" s="66"/>
      <c r="J27" s="65"/>
      <c r="K27" s="65"/>
      <c r="L27" s="65"/>
      <c r="M27" s="63"/>
      <c r="N27" s="66"/>
      <c r="O27" s="80"/>
      <c r="P27" s="80"/>
      <c r="Q27" s="80"/>
      <c r="R27" s="63"/>
      <c r="S27" s="66"/>
      <c r="T27" s="80"/>
      <c r="U27" s="80"/>
      <c r="V27" s="80"/>
      <c r="W27" s="63"/>
      <c r="X27" s="66"/>
      <c r="Y27" s="80"/>
      <c r="Z27" s="80"/>
      <c r="AA27" s="80"/>
      <c r="AB27" s="63"/>
      <c r="AC27" s="66"/>
      <c r="AD27" s="80"/>
      <c r="AE27" s="80"/>
      <c r="AF27" s="80"/>
      <c r="AG27" s="63"/>
      <c r="AH27" s="66"/>
      <c r="AI27" s="80"/>
      <c r="AJ27" s="80"/>
      <c r="AK27" s="80"/>
    </row>
    <row r="28" spans="1:37" ht="71.099999999999994" customHeight="1" x14ac:dyDescent="0.25">
      <c r="A28" s="176" t="s">
        <v>136</v>
      </c>
      <c r="B28" s="164" t="s">
        <v>177</v>
      </c>
      <c r="C28" s="64" t="s">
        <v>198</v>
      </c>
      <c r="D28" s="59" t="s">
        <v>199</v>
      </c>
      <c r="E28" s="99" t="s">
        <v>77</v>
      </c>
      <c r="F28" s="60">
        <f>IF(E28="NO",0,1)</f>
        <v>0</v>
      </c>
      <c r="G28" s="58" t="s">
        <v>46</v>
      </c>
      <c r="H28" s="63"/>
      <c r="I28" s="66"/>
      <c r="J28" s="65"/>
      <c r="K28" s="65"/>
      <c r="L28" s="65"/>
      <c r="M28" s="63"/>
      <c r="N28" s="66"/>
      <c r="O28" s="80"/>
      <c r="P28" s="80"/>
      <c r="Q28" s="80"/>
      <c r="R28" s="63"/>
      <c r="S28" s="66"/>
      <c r="T28" s="80"/>
      <c r="U28" s="80"/>
      <c r="V28" s="80"/>
      <c r="W28" s="63"/>
      <c r="X28" s="66"/>
      <c r="Y28" s="80"/>
      <c r="Z28" s="80"/>
      <c r="AA28" s="80"/>
      <c r="AB28" s="63"/>
      <c r="AC28" s="66"/>
      <c r="AD28" s="80"/>
      <c r="AE28" s="80"/>
      <c r="AF28" s="80"/>
      <c r="AG28" s="63"/>
      <c r="AH28" s="66"/>
      <c r="AI28" s="80"/>
      <c r="AJ28" s="80"/>
      <c r="AK28" s="80"/>
    </row>
    <row r="29" spans="1:37" ht="71.099999999999994" customHeight="1" x14ac:dyDescent="0.25">
      <c r="A29" s="176" t="s">
        <v>136</v>
      </c>
      <c r="B29" s="164" t="s">
        <v>200</v>
      </c>
      <c r="C29" s="64" t="s">
        <v>201</v>
      </c>
      <c r="D29" s="59" t="s">
        <v>202</v>
      </c>
      <c r="E29" s="96" t="s">
        <v>87</v>
      </c>
      <c r="F29" s="60">
        <f t="shared" si="0"/>
        <v>1</v>
      </c>
      <c r="G29" s="58" t="s">
        <v>46</v>
      </c>
      <c r="H29" s="63">
        <f>+IF(E29=Listas!B19,Listas!B6,IF(E29=Listas!B20,Listas!B5,IF(E29=Listas!B22,Listas!B6,IF(E29=Listas!B21,Listas!B4,IF(E29=Listas!B18,Listas!B4,IF(E29=Listas!B24,Listas!B5,0))))))</f>
        <v>3</v>
      </c>
      <c r="I29" s="66"/>
      <c r="J29" s="65"/>
      <c r="K29" s="65"/>
      <c r="L29" s="65"/>
      <c r="M29" s="63"/>
      <c r="N29" s="66"/>
      <c r="O29" s="80"/>
      <c r="P29" s="80"/>
      <c r="Q29" s="80"/>
      <c r="R29" s="63"/>
      <c r="S29" s="66"/>
      <c r="T29" s="80"/>
      <c r="U29" s="80"/>
      <c r="V29" s="80"/>
      <c r="W29" s="63"/>
      <c r="X29" s="66">
        <f>+IF(E29=Listas!B22,Listas!D6,IF(E29=Listas!B21,Listas!D5,IF(E29=Listas!B18,Listas!D4,IF(E29=Listas!B19,Listas!D5))))</f>
        <v>2</v>
      </c>
      <c r="Y29" s="80"/>
      <c r="Z29" s="80"/>
      <c r="AA29" s="80"/>
      <c r="AB29" s="63"/>
      <c r="AC29" s="66"/>
      <c r="AD29" s="80"/>
      <c r="AE29" s="80"/>
      <c r="AF29" s="80"/>
      <c r="AG29" s="63"/>
      <c r="AH29" s="66"/>
      <c r="AI29" s="80"/>
      <c r="AJ29" s="80"/>
      <c r="AK29" s="80"/>
    </row>
    <row r="30" spans="1:37" ht="71.099999999999994" customHeight="1" x14ac:dyDescent="0.25">
      <c r="A30" s="176" t="s">
        <v>136</v>
      </c>
      <c r="B30" s="164" t="s">
        <v>200</v>
      </c>
      <c r="C30" s="64" t="s">
        <v>203</v>
      </c>
      <c r="D30" s="59" t="s">
        <v>204</v>
      </c>
      <c r="E30" s="99" t="s">
        <v>75</v>
      </c>
      <c r="F30" s="60">
        <f>IF(E30="SI",0,1)</f>
        <v>0</v>
      </c>
      <c r="G30" s="58" t="s">
        <v>174</v>
      </c>
      <c r="H30" s="63"/>
      <c r="I30" s="66"/>
      <c r="J30" s="65"/>
      <c r="K30" s="65"/>
      <c r="L30" s="65"/>
      <c r="M30" s="63"/>
      <c r="N30" s="66"/>
      <c r="O30" s="80"/>
      <c r="P30" s="80"/>
      <c r="Q30" s="80"/>
      <c r="R30" s="63"/>
      <c r="S30" s="66"/>
      <c r="T30" s="80"/>
      <c r="U30" s="80"/>
      <c r="V30" s="80"/>
      <c r="W30" s="63"/>
      <c r="X30" s="66"/>
      <c r="Y30" s="80"/>
      <c r="Z30" s="80"/>
      <c r="AA30" s="80"/>
      <c r="AB30" s="63"/>
      <c r="AC30" s="66"/>
      <c r="AD30" s="80"/>
      <c r="AE30" s="80"/>
      <c r="AF30" s="80"/>
      <c r="AG30" s="63"/>
      <c r="AH30" s="66"/>
      <c r="AI30" s="80"/>
      <c r="AJ30" s="80"/>
      <c r="AK30" s="80"/>
    </row>
    <row r="31" spans="1:37" ht="71.099999999999994" customHeight="1" x14ac:dyDescent="0.25">
      <c r="A31" s="176" t="s">
        <v>136</v>
      </c>
      <c r="B31" s="164" t="s">
        <v>200</v>
      </c>
      <c r="C31" s="64" t="s">
        <v>205</v>
      </c>
      <c r="D31" s="59" t="s">
        <v>206</v>
      </c>
      <c r="E31" s="99" t="s">
        <v>77</v>
      </c>
      <c r="F31" s="60">
        <f>IF(E31="NO",0,1)</f>
        <v>0</v>
      </c>
      <c r="G31" s="58" t="s">
        <v>174</v>
      </c>
      <c r="H31" s="63"/>
      <c r="I31" s="66"/>
      <c r="J31" s="65"/>
      <c r="K31" s="65"/>
      <c r="L31" s="65"/>
      <c r="M31" s="63"/>
      <c r="N31" s="66"/>
      <c r="O31" s="80"/>
      <c r="P31" s="80"/>
      <c r="Q31" s="80"/>
      <c r="R31" s="63"/>
      <c r="S31" s="66"/>
      <c r="T31" s="80"/>
      <c r="U31" s="80"/>
      <c r="V31" s="80"/>
      <c r="W31" s="63"/>
      <c r="X31" s="66"/>
      <c r="Y31" s="80"/>
      <c r="Z31" s="80"/>
      <c r="AA31" s="80"/>
      <c r="AB31" s="63"/>
      <c r="AC31" s="66"/>
      <c r="AD31" s="80"/>
      <c r="AE31" s="80"/>
      <c r="AF31" s="80"/>
      <c r="AG31" s="63"/>
      <c r="AH31" s="66"/>
      <c r="AI31" s="80"/>
      <c r="AJ31" s="80"/>
      <c r="AK31" s="80"/>
    </row>
    <row r="32" spans="1:37" ht="71.099999999999994" customHeight="1" x14ac:dyDescent="0.25">
      <c r="A32" s="176" t="s">
        <v>136</v>
      </c>
      <c r="B32" s="164" t="s">
        <v>200</v>
      </c>
      <c r="C32" s="64" t="s">
        <v>207</v>
      </c>
      <c r="D32" s="59" t="s">
        <v>208</v>
      </c>
      <c r="E32" s="99" t="s">
        <v>77</v>
      </c>
      <c r="F32" s="60">
        <f>IF(E32="NO",0,1)</f>
        <v>0</v>
      </c>
      <c r="G32" s="58" t="s">
        <v>174</v>
      </c>
      <c r="H32" s="63"/>
      <c r="I32" s="66"/>
      <c r="J32" s="65"/>
      <c r="K32" s="65"/>
      <c r="L32" s="65"/>
      <c r="M32" s="63"/>
      <c r="N32" s="66"/>
      <c r="O32" s="80"/>
      <c r="P32" s="80"/>
      <c r="Q32" s="80"/>
      <c r="R32" s="63"/>
      <c r="S32" s="66"/>
      <c r="T32" s="80"/>
      <c r="U32" s="80"/>
      <c r="V32" s="80"/>
      <c r="W32" s="63"/>
      <c r="X32" s="66"/>
      <c r="Y32" s="80"/>
      <c r="Z32" s="80"/>
      <c r="AA32" s="80"/>
      <c r="AB32" s="63"/>
      <c r="AC32" s="66"/>
      <c r="AD32" s="80"/>
      <c r="AE32" s="80"/>
      <c r="AF32" s="80"/>
      <c r="AG32" s="63"/>
      <c r="AH32" s="66"/>
      <c r="AI32" s="80"/>
      <c r="AJ32" s="80"/>
      <c r="AK32" s="80"/>
    </row>
    <row r="33" spans="1:37" ht="71.099999999999994" customHeight="1" x14ac:dyDescent="0.25">
      <c r="A33" s="176" t="s">
        <v>136</v>
      </c>
      <c r="B33" s="164" t="s">
        <v>200</v>
      </c>
      <c r="C33" s="64" t="s">
        <v>209</v>
      </c>
      <c r="D33" s="59" t="s">
        <v>210</v>
      </c>
      <c r="E33" s="99" t="s">
        <v>77</v>
      </c>
      <c r="F33" s="60">
        <f>IF(E33="NO",0,1)</f>
        <v>0</v>
      </c>
      <c r="G33" s="58" t="s">
        <v>174</v>
      </c>
      <c r="H33" s="63"/>
      <c r="I33" s="66"/>
      <c r="J33" s="65"/>
      <c r="K33" s="65"/>
      <c r="L33" s="65"/>
      <c r="M33" s="63"/>
      <c r="N33" s="66"/>
      <c r="O33" s="80"/>
      <c r="P33" s="80"/>
      <c r="Q33" s="80"/>
      <c r="R33" s="63"/>
      <c r="S33" s="66"/>
      <c r="T33" s="80"/>
      <c r="U33" s="80"/>
      <c r="V33" s="80"/>
      <c r="W33" s="63"/>
      <c r="X33" s="66"/>
      <c r="Y33" s="80"/>
      <c r="Z33" s="80"/>
      <c r="AA33" s="80"/>
      <c r="AB33" s="63"/>
      <c r="AC33" s="66"/>
      <c r="AD33" s="80"/>
      <c r="AE33" s="80"/>
      <c r="AF33" s="80"/>
      <c r="AG33" s="63"/>
      <c r="AH33" s="66"/>
      <c r="AI33" s="80"/>
      <c r="AJ33" s="80"/>
      <c r="AK33" s="80"/>
    </row>
    <row r="34" spans="1:37" ht="71.099999999999994" customHeight="1" x14ac:dyDescent="0.25">
      <c r="A34" s="176" t="s">
        <v>136</v>
      </c>
      <c r="B34" s="164" t="s">
        <v>200</v>
      </c>
      <c r="C34" s="64" t="s">
        <v>211</v>
      </c>
      <c r="D34" s="59" t="s">
        <v>212</v>
      </c>
      <c r="E34" s="99" t="s">
        <v>77</v>
      </c>
      <c r="F34" s="60">
        <f>IF(E34="NO",0,1)</f>
        <v>0</v>
      </c>
      <c r="G34" s="58" t="s">
        <v>174</v>
      </c>
      <c r="H34" s="63"/>
      <c r="I34" s="66"/>
      <c r="J34" s="65"/>
      <c r="K34" s="65"/>
      <c r="L34" s="65"/>
      <c r="M34" s="63"/>
      <c r="N34" s="66"/>
      <c r="O34" s="80"/>
      <c r="P34" s="80"/>
      <c r="Q34" s="80"/>
      <c r="R34" s="63"/>
      <c r="S34" s="66"/>
      <c r="T34" s="80"/>
      <c r="U34" s="80"/>
      <c r="V34" s="80"/>
      <c r="W34" s="63"/>
      <c r="X34" s="66"/>
      <c r="Y34" s="80"/>
      <c r="Z34" s="80"/>
      <c r="AA34" s="80"/>
      <c r="AB34" s="63"/>
      <c r="AC34" s="66"/>
      <c r="AD34" s="80"/>
      <c r="AE34" s="80"/>
      <c r="AF34" s="80"/>
      <c r="AG34" s="63"/>
      <c r="AH34" s="66"/>
      <c r="AI34" s="80"/>
      <c r="AJ34" s="80"/>
      <c r="AK34" s="80"/>
    </row>
    <row r="35" spans="1:37" ht="71.099999999999994" customHeight="1" x14ac:dyDescent="0.25">
      <c r="A35" s="176" t="s">
        <v>136</v>
      </c>
      <c r="B35" s="84" t="s">
        <v>99</v>
      </c>
      <c r="C35" s="84" t="s">
        <v>99</v>
      </c>
      <c r="D35" s="59" t="s">
        <v>213</v>
      </c>
      <c r="E35" s="99" t="s">
        <v>115</v>
      </c>
      <c r="F35" s="58"/>
      <c r="G35" s="58" t="s">
        <v>40</v>
      </c>
      <c r="H35" s="63"/>
      <c r="I35" s="66"/>
      <c r="J35" s="65"/>
      <c r="K35" s="65"/>
      <c r="L35" s="65"/>
      <c r="M35" s="63"/>
      <c r="N35" s="66"/>
      <c r="O35" s="80"/>
      <c r="P35" s="80"/>
      <c r="Q35" s="80"/>
      <c r="R35" s="63"/>
      <c r="S35" s="66"/>
      <c r="T35" s="80"/>
      <c r="U35" s="80"/>
      <c r="V35" s="80"/>
      <c r="W35" s="63"/>
      <c r="X35" s="66"/>
      <c r="Y35" s="80"/>
      <c r="Z35" s="80"/>
      <c r="AA35" s="80"/>
      <c r="AB35" s="63"/>
      <c r="AC35" s="66"/>
      <c r="AD35" s="80"/>
      <c r="AE35" s="80"/>
      <c r="AF35" s="80"/>
      <c r="AG35" s="63"/>
      <c r="AH35" s="66"/>
      <c r="AI35" s="80"/>
      <c r="AJ35" s="80"/>
      <c r="AK35" s="80"/>
    </row>
    <row r="36" spans="1:37" s="1" customFormat="1" ht="54" customHeight="1" x14ac:dyDescent="0.25">
      <c r="A36" s="158" t="s">
        <v>214</v>
      </c>
      <c r="B36" s="154" t="s">
        <v>214</v>
      </c>
      <c r="C36" s="68" t="s">
        <v>215</v>
      </c>
      <c r="D36" s="69" t="s">
        <v>216</v>
      </c>
      <c r="E36" s="99" t="s">
        <v>75</v>
      </c>
      <c r="F36" s="60">
        <f>IF(E36="NO",0,1)</f>
        <v>1</v>
      </c>
      <c r="G36" s="73" t="s">
        <v>46</v>
      </c>
      <c r="H36" s="65"/>
      <c r="I36" s="79" t="s">
        <v>44</v>
      </c>
      <c r="J36" s="65"/>
      <c r="K36" s="73">
        <f>INDEX(Listas!$D$4:$D$8,MATCH(I36,Listas!$I$4:$I$8,0))*$F36</f>
        <v>4</v>
      </c>
      <c r="L36" s="73"/>
      <c r="M36" s="65"/>
      <c r="N36" s="61" t="s">
        <v>44</v>
      </c>
      <c r="O36" s="65"/>
      <c r="P36" s="73">
        <f>INDEX(Listas!$D$4:$D$8,MATCH(N36,Listas!$I$4:$I$8,0))*$F36</f>
        <v>4</v>
      </c>
      <c r="Q36" s="73"/>
      <c r="R36" s="65"/>
      <c r="S36" s="65"/>
      <c r="T36" s="65"/>
      <c r="U36" s="65"/>
      <c r="V36" s="65"/>
      <c r="W36" s="65"/>
      <c r="X36" s="65"/>
      <c r="Y36" s="65"/>
      <c r="Z36" s="65"/>
      <c r="AA36" s="65"/>
      <c r="AB36" s="65"/>
      <c r="AC36" s="65"/>
      <c r="AD36" s="65"/>
      <c r="AE36" s="65"/>
      <c r="AF36" s="65"/>
      <c r="AG36" s="65"/>
      <c r="AH36" s="61" t="s">
        <v>43</v>
      </c>
      <c r="AI36" s="65"/>
      <c r="AJ36" s="73">
        <f>INDEX(Listas!$D$4:$D$8,MATCH(AH36,Listas!$I$4:$I$8,0))*$F36</f>
        <v>3</v>
      </c>
      <c r="AK36" s="73"/>
    </row>
    <row r="37" spans="1:37" s="1" customFormat="1" ht="57" customHeight="1" x14ac:dyDescent="0.25">
      <c r="A37" s="158" t="s">
        <v>214</v>
      </c>
      <c r="B37" s="154" t="s">
        <v>214</v>
      </c>
      <c r="C37" s="68" t="s">
        <v>217</v>
      </c>
      <c r="D37" s="69" t="s">
        <v>218</v>
      </c>
      <c r="E37" s="99" t="s">
        <v>75</v>
      </c>
      <c r="F37" s="60">
        <f>IF(E37="SI",1,0)</f>
        <v>1</v>
      </c>
      <c r="G37" s="73" t="s">
        <v>40</v>
      </c>
      <c r="H37" s="65"/>
      <c r="I37" s="79" t="s">
        <v>44</v>
      </c>
      <c r="J37" s="65"/>
      <c r="K37" s="73">
        <f>INDEX(Listas!$D$4:$D$8,MATCH(I37,Listas!$I$4:$I$8,0))*$F37</f>
        <v>4</v>
      </c>
      <c r="L37" s="73"/>
      <c r="M37" s="65"/>
      <c r="N37" s="61" t="s">
        <v>44</v>
      </c>
      <c r="O37" s="65"/>
      <c r="P37" s="73">
        <f>INDEX(Listas!$D$4:$D$8,MATCH(N37,Listas!$I$4:$I$8,0))*$F37</f>
        <v>4</v>
      </c>
      <c r="Q37" s="73"/>
      <c r="R37" s="65"/>
      <c r="S37" s="65"/>
      <c r="T37" s="65"/>
      <c r="U37" s="65"/>
      <c r="V37" s="65"/>
      <c r="W37" s="65"/>
      <c r="X37" s="65"/>
      <c r="Y37" s="65"/>
      <c r="Z37" s="65"/>
      <c r="AA37" s="65"/>
      <c r="AB37" s="65"/>
      <c r="AC37" s="65"/>
      <c r="AD37" s="65"/>
      <c r="AE37" s="65"/>
      <c r="AF37" s="65"/>
      <c r="AG37" s="65"/>
      <c r="AH37" s="65"/>
      <c r="AI37" s="65"/>
      <c r="AJ37" s="65"/>
      <c r="AK37" s="65"/>
    </row>
    <row r="38" spans="1:37" s="1" customFormat="1" ht="51" customHeight="1" x14ac:dyDescent="0.25">
      <c r="A38" s="158" t="s">
        <v>214</v>
      </c>
      <c r="B38" s="154" t="s">
        <v>214</v>
      </c>
      <c r="C38" s="68" t="s">
        <v>219</v>
      </c>
      <c r="D38" s="69" t="s">
        <v>220</v>
      </c>
      <c r="E38" s="100" t="s">
        <v>48</v>
      </c>
      <c r="F38" s="74">
        <f>IF(E38="Remota",1,IF(E38="Inusual",2,IF(E38="Posible",3,IF(E38="Recurrente",4,5))))</f>
        <v>4</v>
      </c>
      <c r="G38" s="73" t="s">
        <v>46</v>
      </c>
      <c r="H38" s="61" t="s">
        <v>51</v>
      </c>
      <c r="I38" s="65"/>
      <c r="J38" s="73">
        <f>INDEX(Listas!$B$4:$B$8,MATCH(H38,Listas!$J$4:$J$8,0))*$F38</f>
        <v>4</v>
      </c>
      <c r="K38" s="65"/>
      <c r="L38" s="65"/>
      <c r="M38" s="65"/>
      <c r="N38" s="65"/>
      <c r="O38" s="65"/>
      <c r="P38" s="65"/>
      <c r="Q38" s="65"/>
      <c r="R38" s="65"/>
      <c r="S38" s="65"/>
      <c r="T38" s="65"/>
      <c r="U38" s="65"/>
      <c r="V38" s="65"/>
      <c r="W38" s="65"/>
      <c r="X38" s="65"/>
      <c r="Y38" s="65"/>
      <c r="Z38" s="65"/>
      <c r="AA38" s="65"/>
      <c r="AB38" s="61" t="s">
        <v>51</v>
      </c>
      <c r="AC38" s="65"/>
      <c r="AD38" s="73">
        <f>INDEX(Listas!$B$4:$B$8,MATCH(AB38,Listas!$J$4:$J$8,0))*$F38</f>
        <v>4</v>
      </c>
      <c r="AE38" s="65"/>
      <c r="AF38" s="65"/>
      <c r="AG38" s="65"/>
      <c r="AH38" s="65"/>
      <c r="AI38" s="65"/>
      <c r="AJ38" s="65"/>
      <c r="AK38" s="65"/>
    </row>
    <row r="39" spans="1:37" s="1" customFormat="1" ht="66.75" customHeight="1" x14ac:dyDescent="0.25">
      <c r="A39" s="158" t="s">
        <v>214</v>
      </c>
      <c r="B39" s="154" t="s">
        <v>214</v>
      </c>
      <c r="C39" s="68" t="s">
        <v>221</v>
      </c>
      <c r="D39" s="69" t="s">
        <v>222</v>
      </c>
      <c r="E39" s="99" t="s">
        <v>75</v>
      </c>
      <c r="F39" s="60">
        <f>IF(E39="SI",1,0)</f>
        <v>1</v>
      </c>
      <c r="G39" s="73" t="s">
        <v>40</v>
      </c>
      <c r="H39" s="65"/>
      <c r="I39" s="79" t="s">
        <v>43</v>
      </c>
      <c r="J39" s="65"/>
      <c r="K39" s="73">
        <f>INDEX(Listas!$D$4:$D$8,MATCH(I39,Listas!$I$4:$I$8,0))*$F39</f>
        <v>3</v>
      </c>
      <c r="L39" s="73"/>
      <c r="M39" s="65"/>
      <c r="N39" s="65"/>
      <c r="O39" s="65"/>
      <c r="P39" s="65"/>
      <c r="Q39" s="65"/>
      <c r="R39" s="65"/>
      <c r="S39" s="65"/>
      <c r="T39" s="65"/>
      <c r="U39" s="65"/>
      <c r="V39" s="65"/>
      <c r="W39" s="65"/>
      <c r="X39" s="65"/>
      <c r="Y39" s="65"/>
      <c r="Z39" s="65"/>
      <c r="AA39" s="65"/>
      <c r="AB39" s="65"/>
      <c r="AC39" s="61" t="s">
        <v>43</v>
      </c>
      <c r="AD39" s="65"/>
      <c r="AE39" s="73">
        <f>INDEX(Listas!$D$4:$D$8,MATCH(AC39,Listas!$I$4:$I$8,0))*$F39</f>
        <v>3</v>
      </c>
      <c r="AF39" s="73"/>
      <c r="AG39" s="65"/>
      <c r="AH39" s="61" t="s">
        <v>43</v>
      </c>
      <c r="AI39" s="65"/>
      <c r="AJ39" s="73">
        <f>INDEX(Listas!$D$4:$D$8,MATCH(AH39,Listas!$I$4:$I$8,0))*$F39</f>
        <v>3</v>
      </c>
      <c r="AK39" s="73"/>
    </row>
    <row r="40" spans="1:37" s="1" customFormat="1" ht="42" customHeight="1" x14ac:dyDescent="0.25">
      <c r="A40" s="158" t="s">
        <v>214</v>
      </c>
      <c r="B40" s="154" t="s">
        <v>214</v>
      </c>
      <c r="C40" s="68" t="s">
        <v>223</v>
      </c>
      <c r="D40" s="69" t="s">
        <v>224</v>
      </c>
      <c r="E40" s="100" t="s">
        <v>43</v>
      </c>
      <c r="F40" s="61">
        <f>IF(E40="Minimo",1,IF(E40="Moderado",2,IF(E40="Serio",3,IF(E40="Grave",4,5))))</f>
        <v>3</v>
      </c>
      <c r="G40" s="73" t="s">
        <v>46</v>
      </c>
      <c r="H40" s="61" t="s">
        <v>51</v>
      </c>
      <c r="I40" s="65"/>
      <c r="J40" s="73">
        <f>INDEX(Listas!$B$4:$B$8,MATCH(H40,Listas!$J$4:$J$8,0))*$F40</f>
        <v>3</v>
      </c>
      <c r="K40" s="65"/>
      <c r="L40" s="65"/>
      <c r="M40" s="61" t="s">
        <v>51</v>
      </c>
      <c r="N40" s="65"/>
      <c r="O40" s="73">
        <f>INDEX(Listas!$B$4:$B$8,MATCH(M40,Listas!$J$4:$J$8,0))*$F40</f>
        <v>3</v>
      </c>
      <c r="P40" s="65"/>
      <c r="Q40" s="65"/>
      <c r="R40" s="65"/>
      <c r="S40" s="65"/>
      <c r="T40" s="65"/>
      <c r="U40" s="65"/>
      <c r="V40" s="65"/>
      <c r="W40" s="65"/>
      <c r="X40" s="65"/>
      <c r="Y40" s="65"/>
      <c r="Z40" s="65"/>
      <c r="AA40" s="65"/>
      <c r="AB40" s="61" t="s">
        <v>51</v>
      </c>
      <c r="AC40" s="65"/>
      <c r="AD40" s="73">
        <f>INDEX(Listas!$B$4:$B$8,MATCH(AB40,Listas!$J$4:$J$8,0))*$F40</f>
        <v>3</v>
      </c>
      <c r="AE40" s="65"/>
      <c r="AF40" s="65"/>
      <c r="AG40" s="61" t="s">
        <v>51</v>
      </c>
      <c r="AH40" s="65"/>
      <c r="AI40" s="73">
        <f>INDEX(Listas!$B$4:$B$8,MATCH(AG40,Listas!$J$4:$J$8,0))*$F40</f>
        <v>3</v>
      </c>
      <c r="AJ40" s="65"/>
      <c r="AK40" s="65"/>
    </row>
    <row r="41" spans="1:37" s="1" customFormat="1" ht="42" customHeight="1" x14ac:dyDescent="0.25">
      <c r="A41" s="158" t="s">
        <v>214</v>
      </c>
      <c r="B41" s="154" t="s">
        <v>214</v>
      </c>
      <c r="C41" s="68" t="s">
        <v>225</v>
      </c>
      <c r="D41" s="69" t="s">
        <v>226</v>
      </c>
      <c r="E41" s="99" t="s">
        <v>75</v>
      </c>
      <c r="F41" s="60">
        <f t="shared" ref="F41:F47" si="1">IF(E41="SI",0,1)</f>
        <v>0</v>
      </c>
      <c r="G41" s="73" t="s">
        <v>40</v>
      </c>
      <c r="H41" s="65"/>
      <c r="I41" s="79" t="s">
        <v>42</v>
      </c>
      <c r="J41" s="65"/>
      <c r="K41" s="73">
        <f>INDEX(Listas!$D$4:$D$8,MATCH(I41,Listas!$I$4:$I$8,0))*$F41</f>
        <v>0</v>
      </c>
      <c r="L41" s="73"/>
      <c r="M41" s="65"/>
      <c r="N41" s="65"/>
      <c r="O41" s="65"/>
      <c r="P41" s="65"/>
      <c r="Q41" s="65"/>
      <c r="R41" s="65"/>
      <c r="S41" s="61" t="s">
        <v>43</v>
      </c>
      <c r="T41" s="65"/>
      <c r="U41" s="73">
        <f>INDEX(Listas!$D$4:$D$8,MATCH(S41,Listas!$I$4:$I$8,0))*$F41</f>
        <v>0</v>
      </c>
      <c r="V41" s="73"/>
      <c r="W41" s="65"/>
      <c r="X41" s="65"/>
      <c r="Y41" s="65"/>
      <c r="Z41" s="65"/>
      <c r="AA41" s="65"/>
      <c r="AB41" s="65"/>
      <c r="AC41" s="61" t="s">
        <v>42</v>
      </c>
      <c r="AD41" s="65"/>
      <c r="AE41" s="73">
        <f>INDEX(Listas!$D$4:$D$8,MATCH(AC41,Listas!$I$4:$I$8,0))*$F41</f>
        <v>0</v>
      </c>
      <c r="AF41" s="73"/>
      <c r="AG41" s="65"/>
      <c r="AH41" s="61" t="s">
        <v>42</v>
      </c>
      <c r="AI41" s="65"/>
      <c r="AJ41" s="73">
        <f>INDEX(Listas!$D$4:$D$8,MATCH(AH41,Listas!$I$4:$I$8,0))*$F41</f>
        <v>0</v>
      </c>
      <c r="AK41" s="73"/>
    </row>
    <row r="42" spans="1:37" s="1" customFormat="1" ht="42" customHeight="1" x14ac:dyDescent="0.25">
      <c r="A42" s="158" t="s">
        <v>214</v>
      </c>
      <c r="B42" s="154" t="s">
        <v>227</v>
      </c>
      <c r="C42" s="68" t="s">
        <v>227</v>
      </c>
      <c r="D42" s="69" t="s">
        <v>228</v>
      </c>
      <c r="E42" s="99" t="s">
        <v>77</v>
      </c>
      <c r="F42" s="60">
        <f>IF(E42="SI",0,1)</f>
        <v>1</v>
      </c>
      <c r="G42" s="73" t="s">
        <v>40</v>
      </c>
      <c r="H42" s="65"/>
      <c r="I42" s="79" t="s">
        <v>43</v>
      </c>
      <c r="J42" s="65"/>
      <c r="K42" s="73">
        <f>INDEX(Listas!$D$4:$D$8,MATCH(I42,Listas!$I$4:$I$8,0))*$F42</f>
        <v>3</v>
      </c>
      <c r="L42" s="73"/>
      <c r="M42" s="65"/>
      <c r="N42" s="65"/>
      <c r="O42" s="65"/>
      <c r="P42" s="65"/>
      <c r="Q42" s="65"/>
      <c r="R42" s="65"/>
      <c r="S42" s="65"/>
      <c r="T42" s="65"/>
      <c r="U42" s="65"/>
      <c r="V42" s="65"/>
      <c r="W42" s="65"/>
      <c r="X42" s="65"/>
      <c r="Y42" s="65"/>
      <c r="Z42" s="65"/>
      <c r="AA42" s="65"/>
      <c r="AB42" s="65"/>
      <c r="AC42" s="61" t="s">
        <v>43</v>
      </c>
      <c r="AD42" s="65"/>
      <c r="AE42" s="73">
        <f>INDEX(Listas!$D$4:$D$8,MATCH(AC42,Listas!$I$4:$I$8,0))*$F42</f>
        <v>3</v>
      </c>
      <c r="AF42" s="73"/>
      <c r="AG42" s="65"/>
      <c r="AH42" s="61" t="s">
        <v>43</v>
      </c>
      <c r="AI42" s="65"/>
      <c r="AJ42" s="73">
        <f>INDEX(Listas!$D$4:$D$8,MATCH(AH42,Listas!$I$4:$I$8,0))*$F42</f>
        <v>3</v>
      </c>
      <c r="AK42" s="73"/>
    </row>
    <row r="43" spans="1:37" s="1" customFormat="1" ht="42" customHeight="1" x14ac:dyDescent="0.25">
      <c r="A43" s="158" t="s">
        <v>214</v>
      </c>
      <c r="B43" s="154" t="s">
        <v>227</v>
      </c>
      <c r="C43" s="68" t="s">
        <v>229</v>
      </c>
      <c r="D43" s="69" t="s">
        <v>230</v>
      </c>
      <c r="E43" s="99" t="s">
        <v>75</v>
      </c>
      <c r="F43" s="60">
        <f>IF(E43="SI",1,0)</f>
        <v>1</v>
      </c>
      <c r="G43" s="73" t="s">
        <v>46</v>
      </c>
      <c r="H43" s="65"/>
      <c r="I43" s="65"/>
      <c r="J43" s="65"/>
      <c r="K43" s="65"/>
      <c r="L43" s="65"/>
      <c r="M43" s="65"/>
      <c r="N43" s="79" t="s">
        <v>43</v>
      </c>
      <c r="O43" s="65"/>
      <c r="P43" s="73">
        <f>INDEX(Listas!$D$4:$D$8,MATCH(N43,Listas!$I$4:$I$8,0))*$F43</f>
        <v>3</v>
      </c>
      <c r="Q43" s="73"/>
      <c r="R43" s="65"/>
      <c r="S43" s="65"/>
      <c r="T43" s="65"/>
      <c r="U43" s="65"/>
      <c r="V43" s="65"/>
      <c r="W43" s="65"/>
      <c r="X43" s="65"/>
      <c r="Y43" s="65"/>
      <c r="Z43" s="65"/>
      <c r="AA43" s="65"/>
      <c r="AB43" s="65"/>
      <c r="AC43" s="61" t="s">
        <v>43</v>
      </c>
      <c r="AD43" s="65"/>
      <c r="AE43" s="73">
        <f>INDEX(Listas!$D$4:$D$8,MATCH(AC43,Listas!$I$4:$I$8,0))*$F43</f>
        <v>3</v>
      </c>
      <c r="AF43" s="73"/>
      <c r="AG43" s="65"/>
      <c r="AH43" s="61" t="s">
        <v>44</v>
      </c>
      <c r="AI43" s="65"/>
      <c r="AJ43" s="73">
        <f>INDEX(Listas!$D$4:$D$8,MATCH(AH43,Listas!$I$4:$I$8,0))*$F43</f>
        <v>4</v>
      </c>
      <c r="AK43" s="73"/>
    </row>
    <row r="44" spans="1:37" s="1" customFormat="1" ht="42" customHeight="1" x14ac:dyDescent="0.25">
      <c r="A44" s="158" t="s">
        <v>214</v>
      </c>
      <c r="B44" s="154" t="s">
        <v>227</v>
      </c>
      <c r="C44" s="68" t="s">
        <v>231</v>
      </c>
      <c r="D44" s="69" t="s">
        <v>232</v>
      </c>
      <c r="E44" s="99" t="s">
        <v>75</v>
      </c>
      <c r="F44" s="60">
        <f>IF(E44="SI",0,1)</f>
        <v>0</v>
      </c>
      <c r="G44" s="73" t="s">
        <v>40</v>
      </c>
      <c r="H44" s="65"/>
      <c r="I44" s="65"/>
      <c r="J44" s="65"/>
      <c r="K44" s="65"/>
      <c r="L44" s="65"/>
      <c r="M44" s="65"/>
      <c r="N44" s="65"/>
      <c r="O44" s="65"/>
      <c r="P44" s="65"/>
      <c r="Q44" s="65"/>
      <c r="R44" s="65"/>
      <c r="S44" s="61" t="s">
        <v>43</v>
      </c>
      <c r="T44" s="65"/>
      <c r="U44" s="73">
        <f>INDEX(Listas!$D$4:$D$8,MATCH(S44,Listas!$I$4:$I$8,0))*$F44</f>
        <v>0</v>
      </c>
      <c r="V44" s="73"/>
      <c r="W44" s="65"/>
      <c r="X44" s="65"/>
      <c r="Y44" s="65"/>
      <c r="Z44" s="65"/>
      <c r="AA44" s="65"/>
      <c r="AB44" s="65"/>
      <c r="AC44" s="65"/>
      <c r="AD44" s="65"/>
      <c r="AE44" s="65"/>
      <c r="AF44" s="65"/>
      <c r="AG44" s="65"/>
      <c r="AH44" s="65"/>
      <c r="AI44" s="65"/>
      <c r="AJ44" s="65"/>
      <c r="AK44" s="65"/>
    </row>
    <row r="45" spans="1:37" s="1" customFormat="1" ht="42" customHeight="1" x14ac:dyDescent="0.25">
      <c r="A45" s="158" t="s">
        <v>214</v>
      </c>
      <c r="B45" s="154" t="s">
        <v>227</v>
      </c>
      <c r="C45" s="68" t="s">
        <v>233</v>
      </c>
      <c r="D45" s="69" t="s">
        <v>234</v>
      </c>
      <c r="E45" s="99" t="s">
        <v>77</v>
      </c>
      <c r="F45" s="60">
        <f t="shared" si="1"/>
        <v>1</v>
      </c>
      <c r="G45" s="73" t="s">
        <v>40</v>
      </c>
      <c r="H45" s="65"/>
      <c r="I45" s="65"/>
      <c r="J45" s="65"/>
      <c r="K45" s="65"/>
      <c r="L45" s="65"/>
      <c r="M45" s="65"/>
      <c r="N45" s="65"/>
      <c r="O45" s="65"/>
      <c r="P45" s="65"/>
      <c r="Q45" s="65"/>
      <c r="R45" s="65"/>
      <c r="S45" s="65"/>
      <c r="T45" s="65"/>
      <c r="U45" s="65"/>
      <c r="V45" s="65"/>
      <c r="W45" s="65"/>
      <c r="X45" s="65"/>
      <c r="Y45" s="65"/>
      <c r="Z45" s="65"/>
      <c r="AA45" s="65"/>
      <c r="AB45" s="65"/>
      <c r="AC45" s="61" t="s">
        <v>43</v>
      </c>
      <c r="AD45" s="65"/>
      <c r="AE45" s="73">
        <f>INDEX(Listas!$D$4:$D$8,MATCH(AC45,Listas!$I$4:$I$8,0))*$F45</f>
        <v>3</v>
      </c>
      <c r="AF45" s="73"/>
      <c r="AG45" s="65"/>
      <c r="AH45" s="61" t="s">
        <v>43</v>
      </c>
      <c r="AI45" s="65"/>
      <c r="AJ45" s="73">
        <f>INDEX(Listas!$D$4:$D$8,MATCH(AH45,Listas!$I$4:$I$8,0))*$F45</f>
        <v>3</v>
      </c>
      <c r="AK45" s="73"/>
    </row>
    <row r="46" spans="1:37" s="1" customFormat="1" ht="69" customHeight="1" x14ac:dyDescent="0.25">
      <c r="A46" s="158" t="s">
        <v>214</v>
      </c>
      <c r="B46" s="154" t="s">
        <v>235</v>
      </c>
      <c r="C46" s="68" t="s">
        <v>236</v>
      </c>
      <c r="D46" s="69" t="s">
        <v>237</v>
      </c>
      <c r="E46" s="99" t="s">
        <v>75</v>
      </c>
      <c r="F46" s="60">
        <f t="shared" si="1"/>
        <v>0</v>
      </c>
      <c r="G46" s="73" t="s">
        <v>40</v>
      </c>
      <c r="H46" s="65"/>
      <c r="I46" s="65"/>
      <c r="J46" s="65"/>
      <c r="K46" s="65"/>
      <c r="L46" s="65"/>
      <c r="M46" s="65"/>
      <c r="N46" s="61" t="s">
        <v>42</v>
      </c>
      <c r="O46" s="65"/>
      <c r="P46" s="73">
        <f>INDEX(Listas!$D$4:$D$8,MATCH(N46,Listas!$I$4:$I$8,0))*$F46</f>
        <v>0</v>
      </c>
      <c r="Q46" s="73"/>
      <c r="R46" s="65"/>
      <c r="S46" s="65"/>
      <c r="T46" s="65"/>
      <c r="U46" s="65"/>
      <c r="V46" s="65"/>
      <c r="W46" s="65"/>
      <c r="X46" s="61" t="s">
        <v>42</v>
      </c>
      <c r="Y46" s="65"/>
      <c r="Z46" s="73">
        <f>INDEX(Listas!$D$4:$D$8,MATCH(X46,Listas!$I$4:$I$8,0))*$F46</f>
        <v>0</v>
      </c>
      <c r="AA46" s="73"/>
      <c r="AB46" s="65"/>
      <c r="AC46" s="65"/>
      <c r="AD46" s="65"/>
      <c r="AE46" s="65"/>
      <c r="AF46" s="65"/>
      <c r="AG46" s="65"/>
      <c r="AH46" s="65"/>
      <c r="AI46" s="65"/>
      <c r="AJ46" s="65"/>
      <c r="AK46" s="65"/>
    </row>
    <row r="47" spans="1:37" s="1" customFormat="1" ht="67.5" customHeight="1" x14ac:dyDescent="0.25">
      <c r="A47" s="158" t="s">
        <v>214</v>
      </c>
      <c r="B47" s="154" t="s">
        <v>235</v>
      </c>
      <c r="C47" s="68" t="s">
        <v>156</v>
      </c>
      <c r="D47" s="69" t="s">
        <v>238</v>
      </c>
      <c r="E47" s="99" t="s">
        <v>75</v>
      </c>
      <c r="F47" s="60">
        <f t="shared" si="1"/>
        <v>0</v>
      </c>
      <c r="G47" s="73" t="s">
        <v>40</v>
      </c>
      <c r="H47" s="65"/>
      <c r="I47" s="65"/>
      <c r="J47" s="65"/>
      <c r="K47" s="65"/>
      <c r="L47" s="65"/>
      <c r="M47" s="65"/>
      <c r="N47" s="65"/>
      <c r="O47" s="65"/>
      <c r="P47" s="65"/>
      <c r="Q47" s="65"/>
      <c r="R47" s="65"/>
      <c r="S47" s="65"/>
      <c r="T47" s="65"/>
      <c r="U47" s="65"/>
      <c r="V47" s="65"/>
      <c r="W47" s="65"/>
      <c r="X47" s="61" t="s">
        <v>42</v>
      </c>
      <c r="Y47" s="65"/>
      <c r="Z47" s="73">
        <f>INDEX(Listas!$D$4:$D$8,MATCH(X47,Listas!$I$4:$I$8,0))*$F47</f>
        <v>0</v>
      </c>
      <c r="AA47" s="73"/>
      <c r="AB47" s="65"/>
      <c r="AC47" s="61" t="s">
        <v>42</v>
      </c>
      <c r="AD47" s="65"/>
      <c r="AE47" s="73">
        <f>INDEX(Listas!$D$4:$D$8,MATCH(AC47,Listas!$I$4:$I$8,0))*$F47</f>
        <v>0</v>
      </c>
      <c r="AF47" s="73"/>
      <c r="AG47" s="65"/>
      <c r="AH47" s="65"/>
      <c r="AI47" s="65"/>
      <c r="AJ47" s="65"/>
      <c r="AK47" s="65"/>
    </row>
    <row r="48" spans="1:37" s="1" customFormat="1" ht="90" x14ac:dyDescent="0.25">
      <c r="A48" s="158" t="s">
        <v>214</v>
      </c>
      <c r="B48" s="154" t="s">
        <v>235</v>
      </c>
      <c r="C48" s="70" t="s">
        <v>239</v>
      </c>
      <c r="D48" s="69" t="s">
        <v>240</v>
      </c>
      <c r="E48" s="99" t="s">
        <v>75</v>
      </c>
      <c r="F48" s="60">
        <f t="shared" ref="F48:F93" si="2">IF(E48="SI",0,1)</f>
        <v>0</v>
      </c>
      <c r="G48" s="73" t="s">
        <v>46</v>
      </c>
      <c r="H48" s="65"/>
      <c r="I48" s="65"/>
      <c r="J48" s="65"/>
      <c r="K48" s="65"/>
      <c r="L48" s="65"/>
      <c r="M48" s="65"/>
      <c r="N48" s="61" t="s">
        <v>43</v>
      </c>
      <c r="O48" s="65"/>
      <c r="P48" s="73">
        <f>INDEX(Listas!$D$4:$D$8,MATCH(N48,Listas!$I$4:$I$8,0))*$F48</f>
        <v>0</v>
      </c>
      <c r="Q48" s="73"/>
      <c r="R48" s="65"/>
      <c r="S48" s="65"/>
      <c r="T48" s="65"/>
      <c r="U48" s="65"/>
      <c r="V48" s="65"/>
      <c r="W48" s="65"/>
      <c r="X48" s="65"/>
      <c r="Y48" s="65"/>
      <c r="Z48" s="65"/>
      <c r="AA48" s="65"/>
      <c r="AB48" s="65"/>
      <c r="AC48" s="65"/>
      <c r="AD48" s="65"/>
      <c r="AE48" s="65"/>
      <c r="AF48" s="65"/>
      <c r="AG48" s="65"/>
      <c r="AH48" s="61" t="s">
        <v>43</v>
      </c>
      <c r="AI48" s="65"/>
      <c r="AJ48" s="73">
        <f>INDEX(Listas!$D$4:$D$8,MATCH(AH48,Listas!$I$4:$I$8,0))*$F48</f>
        <v>0</v>
      </c>
      <c r="AK48" s="73"/>
    </row>
    <row r="49" spans="1:37" s="1" customFormat="1" ht="81.75" customHeight="1" x14ac:dyDescent="0.25">
      <c r="A49" s="158" t="s">
        <v>214</v>
      </c>
      <c r="B49" s="106" t="s">
        <v>569</v>
      </c>
      <c r="C49" s="70" t="s">
        <v>569</v>
      </c>
      <c r="D49" s="69" t="s">
        <v>575</v>
      </c>
      <c r="E49" s="99" t="s">
        <v>573</v>
      </c>
      <c r="F49" s="60">
        <f>IF(E49="Individual",10,IF(E49="Comunidad",20,30))</f>
        <v>30</v>
      </c>
      <c r="G49" s="73" t="s">
        <v>62</v>
      </c>
      <c r="H49" s="65"/>
      <c r="I49" s="65"/>
      <c r="J49" s="65"/>
      <c r="K49" s="65"/>
      <c r="L49" s="73">
        <f>F49</f>
        <v>30</v>
      </c>
      <c r="M49" s="65"/>
      <c r="N49" s="109"/>
      <c r="O49" s="65"/>
      <c r="P49" s="65"/>
      <c r="Q49" s="65"/>
      <c r="R49" s="65"/>
      <c r="S49" s="65"/>
      <c r="T49" s="65"/>
      <c r="U49" s="65"/>
      <c r="V49" s="65"/>
      <c r="W49" s="65"/>
      <c r="X49" s="65"/>
      <c r="Y49" s="65"/>
      <c r="Z49" s="65"/>
      <c r="AA49" s="65"/>
      <c r="AB49" s="65"/>
      <c r="AC49" s="65"/>
      <c r="AD49" s="65"/>
      <c r="AE49" s="65"/>
      <c r="AF49" s="73">
        <f>F49</f>
        <v>30</v>
      </c>
      <c r="AG49" s="65"/>
      <c r="AH49" s="109"/>
      <c r="AI49" s="65"/>
      <c r="AJ49" s="65"/>
      <c r="AK49" s="65"/>
    </row>
    <row r="50" spans="1:37" ht="53.45" customHeight="1" x14ac:dyDescent="0.25">
      <c r="A50" s="158" t="s">
        <v>241</v>
      </c>
      <c r="B50" s="156" t="s">
        <v>242</v>
      </c>
      <c r="C50" s="68" t="s">
        <v>243</v>
      </c>
      <c r="D50" s="71" t="s">
        <v>244</v>
      </c>
      <c r="E50" s="100" t="s">
        <v>67</v>
      </c>
      <c r="F50" s="62">
        <f>IF(E50="Muy Bajo",5,IF(E50="Bajo",4,IF(E50="Medio",3,IF(E50="Alto",2,1))))</f>
        <v>2</v>
      </c>
      <c r="G50" s="73" t="s">
        <v>46</v>
      </c>
      <c r="H50" s="65"/>
      <c r="I50" s="65"/>
      <c r="J50" s="65"/>
      <c r="K50" s="65"/>
      <c r="L50" s="65"/>
      <c r="M50" s="65"/>
      <c r="N50" s="65"/>
      <c r="O50" s="65"/>
      <c r="P50" s="73">
        <f>F50</f>
        <v>2</v>
      </c>
      <c r="Q50" s="73"/>
      <c r="R50" s="65"/>
      <c r="S50" s="65"/>
      <c r="T50" s="65"/>
      <c r="U50" s="65"/>
      <c r="V50" s="65"/>
      <c r="W50" s="65"/>
      <c r="X50" s="65"/>
      <c r="Y50" s="65"/>
      <c r="Z50" s="65"/>
      <c r="AA50" s="65"/>
      <c r="AB50" s="65"/>
      <c r="AC50" s="65"/>
      <c r="AD50" s="65"/>
      <c r="AE50" s="65"/>
      <c r="AF50" s="65"/>
      <c r="AG50" s="65"/>
      <c r="AH50" s="65"/>
      <c r="AI50" s="65"/>
      <c r="AJ50" s="73">
        <f>Y50</f>
        <v>0</v>
      </c>
      <c r="AK50" s="73"/>
    </row>
    <row r="51" spans="1:37" ht="53.45" customHeight="1" x14ac:dyDescent="0.25">
      <c r="A51" s="158" t="s">
        <v>241</v>
      </c>
      <c r="B51" s="156" t="s">
        <v>242</v>
      </c>
      <c r="C51" s="68" t="s">
        <v>245</v>
      </c>
      <c r="D51" s="71" t="s">
        <v>246</v>
      </c>
      <c r="E51" s="99" t="s">
        <v>75</v>
      </c>
      <c r="F51" s="60">
        <f t="shared" si="2"/>
        <v>0</v>
      </c>
      <c r="G51" s="73" t="s">
        <v>46</v>
      </c>
      <c r="H51" s="65"/>
      <c r="I51" s="65"/>
      <c r="J51" s="65"/>
      <c r="K51" s="65"/>
      <c r="L51" s="65"/>
      <c r="M51" s="65"/>
      <c r="N51" s="61" t="s">
        <v>44</v>
      </c>
      <c r="O51" s="65"/>
      <c r="P51" s="73">
        <f>INDEX(Listas!$D$4:$D$8,MATCH(N51,Listas!$I$4:$I$8,0))*$F51</f>
        <v>0</v>
      </c>
      <c r="Q51" s="73"/>
      <c r="R51" s="65"/>
      <c r="S51" s="65"/>
      <c r="T51" s="65"/>
      <c r="U51" s="65"/>
      <c r="V51" s="65"/>
      <c r="W51" s="65"/>
      <c r="X51" s="65"/>
      <c r="Y51" s="65"/>
      <c r="Z51" s="65"/>
      <c r="AA51" s="65"/>
      <c r="AB51" s="65"/>
      <c r="AC51" s="65"/>
      <c r="AD51" s="65"/>
      <c r="AE51" s="65"/>
      <c r="AF51" s="65"/>
      <c r="AG51" s="65"/>
      <c r="AH51" s="65"/>
      <c r="AI51" s="65"/>
      <c r="AJ51" s="65"/>
      <c r="AK51" s="65"/>
    </row>
    <row r="52" spans="1:37" ht="53.45" customHeight="1" x14ac:dyDescent="0.25">
      <c r="A52" s="158" t="s">
        <v>241</v>
      </c>
      <c r="B52" s="156" t="s">
        <v>242</v>
      </c>
      <c r="C52" s="68" t="s">
        <v>247</v>
      </c>
      <c r="D52" s="71" t="s">
        <v>248</v>
      </c>
      <c r="E52" s="99" t="s">
        <v>77</v>
      </c>
      <c r="F52" s="60">
        <f t="shared" si="2"/>
        <v>1</v>
      </c>
      <c r="G52" s="73" t="s">
        <v>46</v>
      </c>
      <c r="H52" s="65"/>
      <c r="I52" s="79" t="s">
        <v>44</v>
      </c>
      <c r="J52" s="65"/>
      <c r="K52" s="73">
        <f>INDEX(Listas!$D$4:$D$8,MATCH(I52,Listas!$I$4:$I$8,0))*$F52</f>
        <v>4</v>
      </c>
      <c r="L52" s="73"/>
      <c r="M52" s="65"/>
      <c r="N52" s="61" t="s">
        <v>43</v>
      </c>
      <c r="O52" s="65"/>
      <c r="P52" s="73">
        <f>INDEX(Listas!$D$4:$D$8,MATCH(N52,Listas!$I$4:$I$8,0))*$F52</f>
        <v>3</v>
      </c>
      <c r="Q52" s="73"/>
      <c r="R52" s="65"/>
      <c r="S52" s="61" t="s">
        <v>43</v>
      </c>
      <c r="T52" s="65"/>
      <c r="U52" s="73">
        <f>INDEX(Listas!$D$4:$D$8,MATCH(S52,Listas!$I$4:$I$8,0))*$F52</f>
        <v>3</v>
      </c>
      <c r="V52" s="73"/>
      <c r="W52" s="65"/>
      <c r="X52" s="65"/>
      <c r="Y52" s="65"/>
      <c r="Z52" s="65"/>
      <c r="AA52" s="65"/>
      <c r="AB52" s="65"/>
      <c r="AC52" s="61" t="s">
        <v>43</v>
      </c>
      <c r="AD52" s="65"/>
      <c r="AE52" s="73">
        <f>INDEX(Listas!$D$4:$D$8,MATCH(AC52,Listas!$I$4:$I$8,0))*$F52</f>
        <v>3</v>
      </c>
      <c r="AF52" s="73"/>
      <c r="AG52" s="65"/>
      <c r="AH52" s="65"/>
      <c r="AI52" s="65"/>
      <c r="AJ52" s="65"/>
      <c r="AK52" s="65"/>
    </row>
    <row r="53" spans="1:37" ht="53.45" customHeight="1" x14ac:dyDescent="0.25">
      <c r="A53" s="158" t="s">
        <v>241</v>
      </c>
      <c r="B53" s="156" t="s">
        <v>242</v>
      </c>
      <c r="C53" s="68" t="s">
        <v>249</v>
      </c>
      <c r="D53" s="71" t="s">
        <v>250</v>
      </c>
      <c r="E53" s="99" t="s">
        <v>77</v>
      </c>
      <c r="F53" s="60">
        <f t="shared" si="2"/>
        <v>1</v>
      </c>
      <c r="G53" s="73" t="s">
        <v>46</v>
      </c>
      <c r="H53" s="65"/>
      <c r="I53" s="61" t="s">
        <v>42</v>
      </c>
      <c r="J53" s="65"/>
      <c r="K53" s="73">
        <f>INDEX(Listas!$D$4:$D$8,MATCH(I53,Listas!$I$4:$I$8,0))*$F53</f>
        <v>2</v>
      </c>
      <c r="L53" s="73"/>
      <c r="M53" s="65"/>
      <c r="N53" s="61" t="s">
        <v>42</v>
      </c>
      <c r="O53" s="65"/>
      <c r="P53" s="73">
        <f>INDEX(Listas!$D$4:$D$8,MATCH(N53,Listas!$I$4:$I$8,0))*$F53</f>
        <v>2</v>
      </c>
      <c r="Q53" s="73"/>
      <c r="R53" s="65"/>
      <c r="S53" s="65"/>
      <c r="T53" s="65"/>
      <c r="U53" s="65"/>
      <c r="V53" s="65"/>
      <c r="W53" s="65"/>
      <c r="X53" s="61" t="s">
        <v>42</v>
      </c>
      <c r="Y53" s="65"/>
      <c r="Z53" s="73">
        <f>INDEX(Listas!$D$4:$D$8,MATCH(X53,Listas!$I$4:$I$8,0))*$F53</f>
        <v>2</v>
      </c>
      <c r="AA53" s="73"/>
      <c r="AB53" s="65"/>
      <c r="AC53" s="65"/>
      <c r="AD53" s="65"/>
      <c r="AE53" s="65"/>
      <c r="AF53" s="65"/>
      <c r="AG53" s="65"/>
      <c r="AH53" s="65"/>
      <c r="AI53" s="65"/>
      <c r="AJ53" s="65"/>
      <c r="AK53" s="65"/>
    </row>
    <row r="54" spans="1:37" ht="53.45" customHeight="1" x14ac:dyDescent="0.25">
      <c r="A54" s="158" t="s">
        <v>241</v>
      </c>
      <c r="B54" s="156" t="s">
        <v>242</v>
      </c>
      <c r="C54" s="68" t="s">
        <v>251</v>
      </c>
      <c r="D54" s="71" t="s">
        <v>252</v>
      </c>
      <c r="E54" s="99" t="s">
        <v>75</v>
      </c>
      <c r="F54" s="60">
        <f t="shared" si="2"/>
        <v>0</v>
      </c>
      <c r="G54" s="73" t="s">
        <v>46</v>
      </c>
      <c r="H54" s="65"/>
      <c r="I54" s="65"/>
      <c r="J54" s="65"/>
      <c r="K54" s="65"/>
      <c r="L54" s="65"/>
      <c r="M54" s="65"/>
      <c r="N54" s="61" t="s">
        <v>44</v>
      </c>
      <c r="O54" s="65"/>
      <c r="P54" s="73">
        <f>INDEX(Listas!$D$4:$D$8,MATCH(N54,Listas!$I$4:$I$8,0))*$F54</f>
        <v>0</v>
      </c>
      <c r="Q54" s="73"/>
      <c r="R54" s="65"/>
      <c r="S54" s="65"/>
      <c r="T54" s="65"/>
      <c r="U54" s="65"/>
      <c r="V54" s="65"/>
      <c r="W54" s="65"/>
      <c r="X54" s="65"/>
      <c r="Y54" s="65"/>
      <c r="Z54" s="65"/>
      <c r="AA54" s="65"/>
      <c r="AB54" s="65"/>
      <c r="AC54" s="65"/>
      <c r="AD54" s="65"/>
      <c r="AE54" s="65"/>
      <c r="AF54" s="65"/>
      <c r="AG54" s="65"/>
      <c r="AH54" s="65"/>
      <c r="AI54" s="65"/>
      <c r="AJ54" s="65"/>
      <c r="AK54" s="65"/>
    </row>
    <row r="55" spans="1:37" ht="53.45" customHeight="1" x14ac:dyDescent="0.25">
      <c r="A55" s="158" t="s">
        <v>241</v>
      </c>
      <c r="B55" s="156" t="s">
        <v>242</v>
      </c>
      <c r="C55" s="68" t="s">
        <v>253</v>
      </c>
      <c r="D55" s="71" t="s">
        <v>254</v>
      </c>
      <c r="E55" s="99" t="s">
        <v>75</v>
      </c>
      <c r="F55" s="60">
        <f t="shared" si="2"/>
        <v>0</v>
      </c>
      <c r="G55" s="73" t="s">
        <v>40</v>
      </c>
      <c r="H55" s="65"/>
      <c r="I55" s="65"/>
      <c r="J55" s="65"/>
      <c r="K55" s="65"/>
      <c r="L55" s="65"/>
      <c r="M55" s="65"/>
      <c r="N55" s="61" t="s">
        <v>42</v>
      </c>
      <c r="O55" s="65"/>
      <c r="P55" s="73">
        <f>INDEX(Listas!$D$4:$D$8,MATCH(N55,Listas!$I$4:$I$8,0))*$F55</f>
        <v>0</v>
      </c>
      <c r="Q55" s="73"/>
      <c r="R55" s="65"/>
      <c r="S55" s="61" t="s">
        <v>42</v>
      </c>
      <c r="T55" s="65"/>
      <c r="U55" s="73">
        <f>INDEX(Listas!$D$4:$D$8,MATCH(S55,Listas!$I$4:$I$8,0))*$F55</f>
        <v>0</v>
      </c>
      <c r="V55" s="73"/>
      <c r="W55" s="61" t="s">
        <v>49</v>
      </c>
      <c r="X55" s="61" t="s">
        <v>42</v>
      </c>
      <c r="Y55" s="61"/>
      <c r="Z55" s="73">
        <f>INDEX(Listas!$D$4:$D$8,MATCH(X55,Listas!$I$4:$I$8,0))*$F55</f>
        <v>0</v>
      </c>
      <c r="AA55" s="73"/>
      <c r="AB55" s="61" t="s">
        <v>49</v>
      </c>
      <c r="AC55" s="61" t="s">
        <v>42</v>
      </c>
      <c r="AD55" s="61"/>
      <c r="AE55" s="61"/>
      <c r="AF55" s="61"/>
      <c r="AG55" s="61" t="s">
        <v>49</v>
      </c>
      <c r="AH55" s="61" t="s">
        <v>42</v>
      </c>
      <c r="AI55" s="65"/>
      <c r="AJ55" s="65"/>
      <c r="AK55" s="65"/>
    </row>
    <row r="56" spans="1:37" ht="73.5" customHeight="1" x14ac:dyDescent="0.25">
      <c r="A56" s="158" t="s">
        <v>241</v>
      </c>
      <c r="B56" s="162" t="s">
        <v>255</v>
      </c>
      <c r="C56" s="68" t="s">
        <v>256</v>
      </c>
      <c r="D56" s="71" t="s">
        <v>257</v>
      </c>
      <c r="E56" s="99" t="s">
        <v>77</v>
      </c>
      <c r="F56" s="60">
        <f t="shared" si="2"/>
        <v>1</v>
      </c>
      <c r="G56" s="73" t="s">
        <v>46</v>
      </c>
      <c r="H56" s="65"/>
      <c r="I56" s="65"/>
      <c r="J56" s="65"/>
      <c r="K56" s="65"/>
      <c r="L56" s="65"/>
      <c r="M56" s="65"/>
      <c r="N56" s="61" t="s">
        <v>43</v>
      </c>
      <c r="O56" s="65"/>
      <c r="P56" s="73">
        <f>INDEX(Listas!$D$4:$D$8,MATCH(N56,Listas!$I$4:$I$8,0))*$F56</f>
        <v>3</v>
      </c>
      <c r="Q56" s="73"/>
      <c r="R56" s="65"/>
      <c r="S56" s="65"/>
      <c r="T56" s="65"/>
      <c r="U56" s="65"/>
      <c r="V56" s="65"/>
      <c r="W56" s="65"/>
      <c r="X56" s="65"/>
      <c r="Y56" s="65"/>
      <c r="Z56" s="65"/>
      <c r="AA56" s="65"/>
      <c r="AB56" s="65"/>
      <c r="AC56" s="65"/>
      <c r="AD56" s="65"/>
      <c r="AE56" s="65"/>
      <c r="AF56" s="65"/>
      <c r="AG56" s="65"/>
      <c r="AH56" s="65"/>
      <c r="AI56" s="65"/>
      <c r="AJ56" s="65"/>
      <c r="AK56" s="65"/>
    </row>
    <row r="57" spans="1:37" ht="53.45" customHeight="1" x14ac:dyDescent="0.25">
      <c r="A57" s="158" t="s">
        <v>241</v>
      </c>
      <c r="B57" s="162" t="s">
        <v>255</v>
      </c>
      <c r="C57" s="68" t="s">
        <v>258</v>
      </c>
      <c r="D57" s="71" t="s">
        <v>259</v>
      </c>
      <c r="E57" s="99" t="s">
        <v>77</v>
      </c>
      <c r="F57" s="60">
        <f t="shared" si="2"/>
        <v>1</v>
      </c>
      <c r="G57" s="73" t="s">
        <v>46</v>
      </c>
      <c r="H57" s="65"/>
      <c r="I57" s="61" t="s">
        <v>44</v>
      </c>
      <c r="J57" s="65"/>
      <c r="K57" s="73">
        <f>INDEX(Listas!$D$4:$D$8,MATCH(I57,Listas!$I$4:$I$8,0))*$F57</f>
        <v>4</v>
      </c>
      <c r="L57" s="73"/>
      <c r="M57" s="65"/>
      <c r="N57" s="61" t="s">
        <v>43</v>
      </c>
      <c r="O57" s="65"/>
      <c r="P57" s="73">
        <f>INDEX(Listas!$D$4:$D$8,MATCH(N57,Listas!$I$4:$I$8,0))*$F57</f>
        <v>3</v>
      </c>
      <c r="Q57" s="73"/>
      <c r="R57" s="65"/>
      <c r="S57" s="65"/>
      <c r="T57" s="65"/>
      <c r="U57" s="65"/>
      <c r="V57" s="65"/>
      <c r="W57" s="65"/>
      <c r="X57" s="65"/>
      <c r="Y57" s="65"/>
      <c r="Z57" s="65"/>
      <c r="AA57" s="65"/>
      <c r="AB57" s="65"/>
      <c r="AC57" s="65"/>
      <c r="AD57" s="65"/>
      <c r="AE57" s="65"/>
      <c r="AF57" s="65"/>
      <c r="AG57" s="65"/>
      <c r="AH57" s="65"/>
      <c r="AI57" s="65"/>
      <c r="AJ57" s="65"/>
      <c r="AK57" s="65"/>
    </row>
    <row r="58" spans="1:37" ht="53.45" customHeight="1" x14ac:dyDescent="0.25">
      <c r="A58" s="158" t="s">
        <v>241</v>
      </c>
      <c r="B58" s="162" t="s">
        <v>255</v>
      </c>
      <c r="C58" s="68" t="s">
        <v>260</v>
      </c>
      <c r="D58" s="71" t="s">
        <v>261</v>
      </c>
      <c r="E58" s="99" t="s">
        <v>75</v>
      </c>
      <c r="F58" s="60">
        <f t="shared" si="2"/>
        <v>0</v>
      </c>
      <c r="G58" s="73" t="s">
        <v>46</v>
      </c>
      <c r="H58" s="65"/>
      <c r="I58" s="65"/>
      <c r="J58" s="65"/>
      <c r="K58" s="65"/>
      <c r="L58" s="65"/>
      <c r="M58" s="65"/>
      <c r="N58" s="61" t="s">
        <v>42</v>
      </c>
      <c r="O58" s="65"/>
      <c r="P58" s="73">
        <f>INDEX(Listas!$D$4:$D$8,MATCH(N58,Listas!$I$4:$I$8,0))*$F58</f>
        <v>0</v>
      </c>
      <c r="Q58" s="73"/>
      <c r="R58" s="65"/>
      <c r="S58" s="65"/>
      <c r="T58" s="65"/>
      <c r="U58" s="65"/>
      <c r="V58" s="65"/>
      <c r="W58" s="65"/>
      <c r="X58" s="65"/>
      <c r="Y58" s="65"/>
      <c r="Z58" s="65"/>
      <c r="AA58" s="65"/>
      <c r="AB58" s="65"/>
      <c r="AC58" s="65"/>
      <c r="AD58" s="65"/>
      <c r="AE58" s="65"/>
      <c r="AF58" s="65"/>
      <c r="AG58" s="65"/>
      <c r="AH58" s="65"/>
      <c r="AI58" s="65"/>
      <c r="AJ58" s="65"/>
      <c r="AK58" s="65"/>
    </row>
    <row r="59" spans="1:37" ht="53.45" customHeight="1" x14ac:dyDescent="0.25">
      <c r="A59" s="158" t="s">
        <v>241</v>
      </c>
      <c r="B59" s="154" t="s">
        <v>262</v>
      </c>
      <c r="C59" s="68" t="s">
        <v>263</v>
      </c>
      <c r="D59" s="71" t="s">
        <v>264</v>
      </c>
      <c r="E59" s="99" t="s">
        <v>77</v>
      </c>
      <c r="F59" s="60">
        <f t="shared" si="2"/>
        <v>1</v>
      </c>
      <c r="G59" s="73" t="s">
        <v>40</v>
      </c>
      <c r="H59" s="65"/>
      <c r="I59" s="61" t="s">
        <v>44</v>
      </c>
      <c r="J59" s="65"/>
      <c r="K59" s="73">
        <f>INDEX(Listas!$D$4:$D$8,MATCH(I59,Listas!$I$4:$I$8,0))*$F59</f>
        <v>4</v>
      </c>
      <c r="L59" s="73"/>
      <c r="M59" s="65"/>
      <c r="N59" s="61" t="s">
        <v>44</v>
      </c>
      <c r="O59" s="65"/>
      <c r="P59" s="73">
        <f>INDEX(Listas!$D$4:$D$8,MATCH(N59,Listas!$I$4:$I$8,0))*$F59</f>
        <v>4</v>
      </c>
      <c r="Q59" s="73"/>
      <c r="R59" s="65"/>
      <c r="S59" s="65"/>
      <c r="T59" s="65"/>
      <c r="U59" s="65"/>
      <c r="V59" s="65"/>
      <c r="W59" s="65"/>
      <c r="X59" s="65"/>
      <c r="Y59" s="65"/>
      <c r="Z59" s="65"/>
      <c r="AA59" s="65"/>
      <c r="AB59" s="65"/>
      <c r="AC59" s="65"/>
      <c r="AD59" s="65"/>
      <c r="AE59" s="65"/>
      <c r="AF59" s="65"/>
      <c r="AG59" s="65"/>
      <c r="AH59" s="65"/>
      <c r="AI59" s="65"/>
      <c r="AJ59" s="65"/>
      <c r="AK59" s="65"/>
    </row>
    <row r="60" spans="1:37" ht="53.45" customHeight="1" x14ac:dyDescent="0.25">
      <c r="A60" s="158" t="s">
        <v>241</v>
      </c>
      <c r="B60" s="154" t="s">
        <v>262</v>
      </c>
      <c r="C60" s="64" t="s">
        <v>265</v>
      </c>
      <c r="D60" s="69" t="s">
        <v>266</v>
      </c>
      <c r="E60" s="99" t="s">
        <v>77</v>
      </c>
      <c r="F60" s="60">
        <f t="shared" si="2"/>
        <v>1</v>
      </c>
      <c r="G60" s="73" t="s">
        <v>46</v>
      </c>
      <c r="H60" s="65"/>
      <c r="I60" s="65"/>
      <c r="J60" s="65"/>
      <c r="K60" s="65"/>
      <c r="L60" s="65"/>
      <c r="M60" s="65"/>
      <c r="N60" s="61" t="s">
        <v>45</v>
      </c>
      <c r="O60" s="65"/>
      <c r="P60" s="73">
        <f>INDEX(Listas!$D$4:$D$8,MATCH(N60,Listas!$I$4:$I$8,0))*$F60</f>
        <v>5</v>
      </c>
      <c r="Q60" s="73"/>
      <c r="R60" s="65"/>
      <c r="S60" s="65"/>
      <c r="T60" s="65"/>
      <c r="U60" s="65"/>
      <c r="V60" s="65"/>
      <c r="W60" s="65"/>
      <c r="X60" s="61" t="s">
        <v>42</v>
      </c>
      <c r="Y60" s="65"/>
      <c r="Z60" s="73">
        <f>INDEX(Listas!$D$4:$D$8,MATCH(X60,Listas!$I$4:$I$8,0))*$F60</f>
        <v>2</v>
      </c>
      <c r="AA60" s="73"/>
      <c r="AB60" s="65"/>
      <c r="AC60" s="61" t="s">
        <v>43</v>
      </c>
      <c r="AD60" s="65"/>
      <c r="AE60" s="73">
        <f>INDEX(Listas!$D$4:$D$8,MATCH(AC60,Listas!$I$4:$I$8,0))*$F60</f>
        <v>3</v>
      </c>
      <c r="AF60" s="73"/>
      <c r="AG60" s="65"/>
      <c r="AH60" s="65"/>
      <c r="AI60" s="65"/>
      <c r="AJ60" s="65"/>
      <c r="AK60" s="65"/>
    </row>
    <row r="61" spans="1:37" ht="53.45" customHeight="1" x14ac:dyDescent="0.25">
      <c r="A61" s="158" t="s">
        <v>241</v>
      </c>
      <c r="B61" s="154" t="s">
        <v>262</v>
      </c>
      <c r="C61" s="64" t="s">
        <v>267</v>
      </c>
      <c r="D61" s="69" t="s">
        <v>268</v>
      </c>
      <c r="E61" s="100" t="s">
        <v>43</v>
      </c>
      <c r="F61" s="61">
        <f>IF(E61="Minimo",1,IF(E61="Moderado",2,IF(E61="Serio",3,IF(E61="Grave",4,5))))</f>
        <v>3</v>
      </c>
      <c r="G61" s="61" t="s">
        <v>40</v>
      </c>
      <c r="H61" s="65"/>
      <c r="I61" s="65"/>
      <c r="J61" s="58">
        <f>F61</f>
        <v>3</v>
      </c>
      <c r="K61" s="65"/>
      <c r="L61" s="65"/>
      <c r="M61" s="65"/>
      <c r="N61" s="65"/>
      <c r="O61" s="61">
        <f>F61</f>
        <v>3</v>
      </c>
      <c r="P61" s="65"/>
      <c r="Q61" s="65"/>
      <c r="R61" s="65"/>
      <c r="S61" s="65"/>
      <c r="T61" s="65"/>
      <c r="U61" s="65"/>
      <c r="V61" s="65"/>
      <c r="W61" s="65"/>
      <c r="X61" s="65"/>
      <c r="Y61" s="65"/>
      <c r="Z61" s="65"/>
      <c r="AA61" s="65"/>
      <c r="AB61" s="65"/>
      <c r="AC61" s="65"/>
      <c r="AD61" s="61">
        <f>F61</f>
        <v>3</v>
      </c>
      <c r="AE61" s="65"/>
      <c r="AF61" s="65"/>
      <c r="AG61" s="65"/>
      <c r="AH61" s="65"/>
      <c r="AI61" s="65"/>
      <c r="AJ61" s="65"/>
      <c r="AK61" s="65"/>
    </row>
    <row r="62" spans="1:37" ht="51.75" customHeight="1" x14ac:dyDescent="0.25">
      <c r="A62" s="158" t="s">
        <v>241</v>
      </c>
      <c r="B62" s="156" t="s">
        <v>269</v>
      </c>
      <c r="C62" s="64" t="s">
        <v>270</v>
      </c>
      <c r="D62" s="69" t="s">
        <v>271</v>
      </c>
      <c r="E62" s="99" t="s">
        <v>77</v>
      </c>
      <c r="F62" s="60">
        <f>IF(E62="SI",1,0)</f>
        <v>0</v>
      </c>
      <c r="G62" s="61" t="s">
        <v>40</v>
      </c>
      <c r="H62" s="65"/>
      <c r="I62" s="65"/>
      <c r="J62" s="65"/>
      <c r="K62" s="65"/>
      <c r="L62" s="65"/>
      <c r="M62" s="65"/>
      <c r="N62" s="61" t="s">
        <v>42</v>
      </c>
      <c r="O62" s="65"/>
      <c r="P62" s="73">
        <f>INDEX(Listas!$D$4:$D$8,MATCH(N62,Listas!$I$4:$I$8,0))*$F62</f>
        <v>0</v>
      </c>
      <c r="Q62" s="73"/>
      <c r="R62" s="65"/>
      <c r="S62" s="65"/>
      <c r="T62" s="65"/>
      <c r="U62" s="65"/>
      <c r="V62" s="65"/>
      <c r="W62" s="65"/>
      <c r="X62" s="65"/>
      <c r="Y62" s="65"/>
      <c r="Z62" s="65"/>
      <c r="AA62" s="65"/>
      <c r="AB62" s="65"/>
      <c r="AC62" s="65"/>
      <c r="AD62" s="65"/>
      <c r="AE62" s="65"/>
      <c r="AF62" s="65"/>
      <c r="AG62" s="65"/>
      <c r="AH62" s="65"/>
      <c r="AI62" s="65"/>
      <c r="AJ62" s="65"/>
      <c r="AK62" s="65"/>
    </row>
    <row r="63" spans="1:37" ht="64.5" customHeight="1" x14ac:dyDescent="0.25">
      <c r="A63" s="158" t="s">
        <v>241</v>
      </c>
      <c r="B63" s="156" t="s">
        <v>269</v>
      </c>
      <c r="C63" s="68" t="s">
        <v>272</v>
      </c>
      <c r="D63" s="71" t="s">
        <v>273</v>
      </c>
      <c r="E63" s="99" t="s">
        <v>77</v>
      </c>
      <c r="F63" s="60">
        <f t="shared" si="2"/>
        <v>1</v>
      </c>
      <c r="G63" s="73" t="s">
        <v>40</v>
      </c>
      <c r="H63" s="65"/>
      <c r="I63" s="65"/>
      <c r="J63" s="65"/>
      <c r="K63" s="65"/>
      <c r="L63" s="65"/>
      <c r="M63" s="65"/>
      <c r="N63" s="61" t="s">
        <v>42</v>
      </c>
      <c r="O63" s="65"/>
      <c r="P63" s="73">
        <f>INDEX(Listas!$D$4:$D$8,MATCH(N63,Listas!$I$4:$I$8,0))*$F63</f>
        <v>2</v>
      </c>
      <c r="Q63" s="73"/>
      <c r="R63" s="65"/>
      <c r="S63" s="65"/>
      <c r="T63" s="65"/>
      <c r="U63" s="65"/>
      <c r="V63" s="65"/>
      <c r="W63" s="65"/>
      <c r="X63" s="61" t="s">
        <v>42</v>
      </c>
      <c r="Y63" s="65"/>
      <c r="Z63" s="73">
        <f>INDEX(Listas!$D$4:$D$8,MATCH(X63,Listas!$I$4:$I$8,0))*$F63</f>
        <v>2</v>
      </c>
      <c r="AA63" s="73"/>
      <c r="AB63" s="65"/>
      <c r="AC63" s="65"/>
      <c r="AD63" s="65"/>
      <c r="AE63" s="65"/>
      <c r="AF63" s="65"/>
      <c r="AG63" s="65"/>
      <c r="AH63" s="65"/>
      <c r="AI63" s="65"/>
      <c r="AJ63" s="65"/>
      <c r="AK63" s="65"/>
    </row>
    <row r="64" spans="1:37" ht="80.25" customHeight="1" x14ac:dyDescent="0.25">
      <c r="A64" s="158" t="s">
        <v>241</v>
      </c>
      <c r="B64" s="156" t="s">
        <v>269</v>
      </c>
      <c r="C64" s="68" t="s">
        <v>274</v>
      </c>
      <c r="D64" s="71" t="s">
        <v>275</v>
      </c>
      <c r="E64" s="99" t="s">
        <v>75</v>
      </c>
      <c r="F64" s="60">
        <f t="shared" si="2"/>
        <v>0</v>
      </c>
      <c r="G64" s="73" t="s">
        <v>46</v>
      </c>
      <c r="H64" s="65"/>
      <c r="I64" s="65"/>
      <c r="J64" s="65"/>
      <c r="K64" s="65"/>
      <c r="L64" s="65"/>
      <c r="M64" s="65"/>
      <c r="N64" s="61" t="s">
        <v>42</v>
      </c>
      <c r="O64" s="65"/>
      <c r="P64" s="73">
        <f>INDEX(Listas!$D$4:$D$8,MATCH(N64,Listas!$I$4:$I$8,0))*$F64</f>
        <v>0</v>
      </c>
      <c r="Q64" s="73"/>
      <c r="R64" s="65"/>
      <c r="S64" s="65"/>
      <c r="T64" s="65"/>
      <c r="U64" s="65"/>
      <c r="V64" s="65"/>
      <c r="W64" s="65"/>
      <c r="X64" s="65"/>
      <c r="Y64" s="65"/>
      <c r="Z64" s="65"/>
      <c r="AA64" s="65"/>
      <c r="AB64" s="65"/>
      <c r="AC64" s="65"/>
      <c r="AD64" s="65"/>
      <c r="AE64" s="65"/>
      <c r="AF64" s="65"/>
      <c r="AG64" s="65"/>
      <c r="AH64" s="61" t="s">
        <v>42</v>
      </c>
      <c r="AI64" s="65"/>
      <c r="AJ64" s="73">
        <f>INDEX(Listas!$D$4:$D$8,MATCH(AH64,Listas!$I$4:$I$8,0))*$F64</f>
        <v>0</v>
      </c>
      <c r="AK64" s="73"/>
    </row>
    <row r="65" spans="1:37" ht="80.25" customHeight="1" x14ac:dyDescent="0.25">
      <c r="A65" s="158" t="s">
        <v>241</v>
      </c>
      <c r="B65" s="156" t="s">
        <v>269</v>
      </c>
      <c r="C65" s="68" t="s">
        <v>276</v>
      </c>
      <c r="D65" s="71" t="s">
        <v>277</v>
      </c>
      <c r="E65" s="99" t="s">
        <v>77</v>
      </c>
      <c r="F65" s="60">
        <f t="shared" si="2"/>
        <v>1</v>
      </c>
      <c r="G65" s="73" t="s">
        <v>46</v>
      </c>
      <c r="H65" s="65"/>
      <c r="I65" s="65"/>
      <c r="J65" s="65"/>
      <c r="K65" s="65"/>
      <c r="L65" s="65"/>
      <c r="M65" s="65"/>
      <c r="N65" s="65"/>
      <c r="O65" s="65"/>
      <c r="P65" s="65"/>
      <c r="Q65" s="65"/>
      <c r="R65" s="65"/>
      <c r="S65" s="65"/>
      <c r="T65" s="65"/>
      <c r="U65" s="65"/>
      <c r="V65" s="65"/>
      <c r="W65" s="65"/>
      <c r="X65" s="61" t="s">
        <v>43</v>
      </c>
      <c r="Y65" s="65"/>
      <c r="Z65" s="73">
        <f>INDEX(Listas!$D$4:$D$8,MATCH(X65,Listas!$I$4:$I$8,0))*$F65</f>
        <v>3</v>
      </c>
      <c r="AA65" s="73"/>
      <c r="AB65" s="65"/>
      <c r="AC65" s="61" t="s">
        <v>42</v>
      </c>
      <c r="AD65" s="65"/>
      <c r="AE65" s="73">
        <f>INDEX(Listas!$D$4:$D$8,MATCH(AC65,Listas!$I$4:$I$8,0))*$F65</f>
        <v>2</v>
      </c>
      <c r="AF65" s="73"/>
      <c r="AG65" s="65"/>
      <c r="AH65" s="61" t="s">
        <v>43</v>
      </c>
      <c r="AI65" s="65"/>
      <c r="AJ65" s="73">
        <f>INDEX(Listas!$D$4:$D$8,MATCH(AH65,Listas!$I$4:$I$8,0))*$F65</f>
        <v>3</v>
      </c>
      <c r="AK65" s="73"/>
    </row>
    <row r="66" spans="1:37" ht="87.75" customHeight="1" x14ac:dyDescent="0.25">
      <c r="A66" s="158" t="s">
        <v>241</v>
      </c>
      <c r="B66" s="83" t="s">
        <v>278</v>
      </c>
      <c r="C66" s="68" t="s">
        <v>279</v>
      </c>
      <c r="D66" s="71" t="s">
        <v>280</v>
      </c>
      <c r="E66" s="99" t="s">
        <v>75</v>
      </c>
      <c r="F66" s="60">
        <f t="shared" si="2"/>
        <v>0</v>
      </c>
      <c r="G66" s="73" t="s">
        <v>46</v>
      </c>
      <c r="H66" s="65"/>
      <c r="I66" s="65"/>
      <c r="J66" s="65"/>
      <c r="K66" s="65"/>
      <c r="L66" s="65"/>
      <c r="M66" s="65"/>
      <c r="N66" s="61" t="s">
        <v>43</v>
      </c>
      <c r="O66" s="65"/>
      <c r="P66" s="73">
        <f>INDEX(Listas!$D$4:$D$8,MATCH(N66,Listas!$I$4:$I$8,0))*$F66</f>
        <v>0</v>
      </c>
      <c r="Q66" s="73"/>
      <c r="R66" s="65"/>
      <c r="S66" s="61" t="s">
        <v>42</v>
      </c>
      <c r="T66" s="65"/>
      <c r="U66" s="73">
        <f>INDEX(Listas!$D$4:$D$8,MATCH(S66,Listas!$I$4:$I$8,0))*$F66</f>
        <v>0</v>
      </c>
      <c r="V66" s="73"/>
      <c r="W66" s="65"/>
      <c r="X66" s="61" t="s">
        <v>42</v>
      </c>
      <c r="Y66" s="65"/>
      <c r="Z66" s="73">
        <f>INDEX(Listas!$D$4:$D$8,MATCH(X66,Listas!$I$4:$I$8,0))*$F66</f>
        <v>0</v>
      </c>
      <c r="AA66" s="73"/>
      <c r="AB66" s="65"/>
      <c r="AC66" s="65"/>
      <c r="AD66" s="65"/>
      <c r="AE66" s="65"/>
      <c r="AF66" s="65"/>
      <c r="AG66" s="65"/>
      <c r="AH66" s="65"/>
      <c r="AI66" s="65"/>
      <c r="AJ66" s="65"/>
      <c r="AK66" s="65"/>
    </row>
    <row r="67" spans="1:37" ht="63" customHeight="1" x14ac:dyDescent="0.25">
      <c r="A67" s="158" t="s">
        <v>241</v>
      </c>
      <c r="B67" s="175" t="s">
        <v>625</v>
      </c>
      <c r="C67" s="68" t="s">
        <v>281</v>
      </c>
      <c r="D67" s="71" t="s">
        <v>587</v>
      </c>
      <c r="E67" s="99" t="s">
        <v>75</v>
      </c>
      <c r="F67" s="60">
        <f t="shared" si="2"/>
        <v>0</v>
      </c>
      <c r="G67" s="73" t="s">
        <v>40</v>
      </c>
      <c r="H67" s="65"/>
      <c r="I67" s="65"/>
      <c r="J67" s="65"/>
      <c r="K67" s="65"/>
      <c r="L67" s="65"/>
      <c r="M67" s="65"/>
      <c r="N67" s="65"/>
      <c r="O67" s="65"/>
      <c r="P67" s="65"/>
      <c r="Q67" s="65"/>
      <c r="R67" s="65"/>
      <c r="S67" s="65"/>
      <c r="T67" s="65"/>
      <c r="U67" s="65"/>
      <c r="V67" s="65"/>
      <c r="W67" s="65"/>
      <c r="X67" s="61" t="s">
        <v>44</v>
      </c>
      <c r="Y67" s="65"/>
      <c r="Z67" s="73">
        <f>INDEX(Listas!$D$4:$D$8,MATCH(X67,Listas!$I$4:$I$8,0))*$F67</f>
        <v>0</v>
      </c>
      <c r="AA67" s="73"/>
      <c r="AB67" s="65"/>
      <c r="AC67" s="65"/>
      <c r="AD67" s="65"/>
      <c r="AE67" s="65"/>
      <c r="AF67" s="65"/>
      <c r="AG67" s="65"/>
      <c r="AH67" s="65"/>
      <c r="AI67" s="65"/>
      <c r="AJ67" s="65"/>
      <c r="AK67" s="65"/>
    </row>
    <row r="68" spans="1:37" ht="59.25" customHeight="1" x14ac:dyDescent="0.25">
      <c r="A68" s="158" t="s">
        <v>241</v>
      </c>
      <c r="B68" s="175" t="s">
        <v>625</v>
      </c>
      <c r="C68" s="68" t="s">
        <v>282</v>
      </c>
      <c r="D68" s="71" t="s">
        <v>283</v>
      </c>
      <c r="E68" s="99" t="s">
        <v>75</v>
      </c>
      <c r="F68" s="60">
        <f t="shared" si="2"/>
        <v>0</v>
      </c>
      <c r="G68" s="73" t="s">
        <v>46</v>
      </c>
      <c r="H68" s="65"/>
      <c r="I68" s="65"/>
      <c r="J68" s="65"/>
      <c r="K68" s="65"/>
      <c r="L68" s="65"/>
      <c r="M68" s="65"/>
      <c r="N68" s="65"/>
      <c r="O68" s="65"/>
      <c r="P68" s="65"/>
      <c r="Q68" s="65"/>
      <c r="R68" s="65"/>
      <c r="S68" s="65"/>
      <c r="T68" s="65"/>
      <c r="U68" s="65"/>
      <c r="V68" s="65"/>
      <c r="W68" s="65"/>
      <c r="X68" s="61" t="s">
        <v>43</v>
      </c>
      <c r="Y68" s="65"/>
      <c r="Z68" s="73">
        <f>INDEX(Listas!$D$4:$D$8,MATCH(X68,Listas!$I$4:$I$8,0))*$F68</f>
        <v>0</v>
      </c>
      <c r="AA68" s="73"/>
      <c r="AB68" s="65"/>
      <c r="AC68" s="65"/>
      <c r="AD68" s="65"/>
      <c r="AE68" s="65"/>
      <c r="AF68" s="65"/>
      <c r="AG68" s="65"/>
      <c r="AH68" s="65"/>
      <c r="AI68" s="65"/>
      <c r="AJ68" s="65"/>
      <c r="AK68" s="65"/>
    </row>
    <row r="69" spans="1:37" ht="59.25" customHeight="1" x14ac:dyDescent="0.25">
      <c r="A69" s="158" t="s">
        <v>241</v>
      </c>
      <c r="B69" s="106" t="s">
        <v>569</v>
      </c>
      <c r="C69" s="107" t="s">
        <v>569</v>
      </c>
      <c r="D69" s="69" t="s">
        <v>574</v>
      </c>
      <c r="E69" s="99" t="s">
        <v>572</v>
      </c>
      <c r="F69" s="60">
        <f>IF(E69="Individual",10,IF(E69="Comunidad",20,30))</f>
        <v>20</v>
      </c>
      <c r="G69" s="73" t="s">
        <v>62</v>
      </c>
      <c r="H69" s="65"/>
      <c r="I69" s="65"/>
      <c r="J69" s="65"/>
      <c r="K69" s="65"/>
      <c r="L69" s="65"/>
      <c r="M69" s="65"/>
      <c r="N69" s="65"/>
      <c r="O69" s="65"/>
      <c r="P69" s="65"/>
      <c r="Q69" s="73">
        <f>F69</f>
        <v>20</v>
      </c>
      <c r="R69" s="65"/>
      <c r="S69" s="65"/>
      <c r="T69" s="65"/>
      <c r="U69" s="65"/>
      <c r="V69" s="73">
        <f>F69</f>
        <v>20</v>
      </c>
      <c r="W69" s="65"/>
      <c r="X69" s="109"/>
      <c r="Y69" s="65"/>
      <c r="Z69" s="65"/>
      <c r="AA69" s="65"/>
      <c r="AB69" s="65"/>
      <c r="AC69" s="65"/>
      <c r="AD69" s="65"/>
      <c r="AE69" s="65"/>
      <c r="AF69" s="65"/>
      <c r="AG69" s="65"/>
      <c r="AH69" s="65"/>
      <c r="AI69" s="65"/>
      <c r="AJ69" s="65"/>
      <c r="AK69" s="65"/>
    </row>
    <row r="70" spans="1:37" ht="51.95" customHeight="1" x14ac:dyDescent="0.25">
      <c r="A70" s="158" t="s">
        <v>284</v>
      </c>
      <c r="B70" s="156" t="s">
        <v>285</v>
      </c>
      <c r="C70" s="68" t="s">
        <v>286</v>
      </c>
      <c r="D70" s="71" t="s">
        <v>287</v>
      </c>
      <c r="E70" s="99" t="s">
        <v>77</v>
      </c>
      <c r="F70" s="60">
        <f>IF(E70="SI",1,0)</f>
        <v>0</v>
      </c>
      <c r="G70" s="73" t="s">
        <v>40</v>
      </c>
      <c r="H70" s="65"/>
      <c r="I70" s="65"/>
      <c r="J70" s="65"/>
      <c r="K70" s="65"/>
      <c r="L70" s="65"/>
      <c r="M70" s="65"/>
      <c r="N70" s="65"/>
      <c r="O70" s="65"/>
      <c r="P70" s="65"/>
      <c r="Q70" s="65"/>
      <c r="R70" s="65"/>
      <c r="S70" s="65"/>
      <c r="T70" s="65"/>
      <c r="U70" s="65"/>
      <c r="V70" s="65"/>
      <c r="W70" s="65"/>
      <c r="X70" s="65"/>
      <c r="Y70" s="65"/>
      <c r="Z70" s="65"/>
      <c r="AA70" s="65"/>
      <c r="AB70" s="65"/>
      <c r="AC70" s="61" t="s">
        <v>42</v>
      </c>
      <c r="AD70" s="65"/>
      <c r="AE70" s="73">
        <f>INDEX(Listas!$D$4:$D$8,MATCH(AC70,Listas!$I$4:$I$8,0))*$F70</f>
        <v>0</v>
      </c>
      <c r="AF70" s="73"/>
      <c r="AG70" s="65"/>
      <c r="AH70" s="61" t="s">
        <v>42</v>
      </c>
      <c r="AI70" s="65"/>
      <c r="AJ70" s="73">
        <f>INDEX(Listas!$D$4:$D$8,MATCH(AH70,Listas!$I$4:$I$8,0))*$F70</f>
        <v>0</v>
      </c>
      <c r="AK70" s="73"/>
    </row>
    <row r="71" spans="1:37" ht="51.95" customHeight="1" x14ac:dyDescent="0.25">
      <c r="A71" s="158" t="s">
        <v>284</v>
      </c>
      <c r="B71" s="156" t="s">
        <v>285</v>
      </c>
      <c r="C71" s="72" t="s">
        <v>288</v>
      </c>
      <c r="D71" s="71" t="s">
        <v>289</v>
      </c>
      <c r="E71" s="99" t="s">
        <v>77</v>
      </c>
      <c r="F71" s="60">
        <f>IF(E71="SI",1,0)</f>
        <v>0</v>
      </c>
      <c r="G71" s="73" t="s">
        <v>40</v>
      </c>
      <c r="H71" s="65"/>
      <c r="I71" s="61" t="s">
        <v>42</v>
      </c>
      <c r="J71" s="65"/>
      <c r="K71" s="73">
        <f>INDEX(Listas!$D$4:$D$8,MATCH(I71,Listas!$I$4:$I$8,0))*$F71</f>
        <v>0</v>
      </c>
      <c r="L71" s="73"/>
      <c r="M71" s="65"/>
      <c r="N71" s="65"/>
      <c r="O71" s="65"/>
      <c r="P71" s="65"/>
      <c r="Q71" s="65"/>
      <c r="R71" s="65"/>
      <c r="S71" s="65"/>
      <c r="T71" s="65"/>
      <c r="U71" s="65"/>
      <c r="V71" s="65"/>
      <c r="W71" s="65"/>
      <c r="X71" s="65"/>
      <c r="Y71" s="65"/>
      <c r="Z71" s="65"/>
      <c r="AA71" s="65"/>
      <c r="AB71" s="65"/>
      <c r="AC71" s="61" t="s">
        <v>42</v>
      </c>
      <c r="AD71" s="65"/>
      <c r="AE71" s="73">
        <f>INDEX(Listas!$D$4:$D$8,MATCH(AC71,Listas!$I$4:$I$8,0))*$F71</f>
        <v>0</v>
      </c>
      <c r="AF71" s="73"/>
      <c r="AG71" s="65"/>
      <c r="AH71" s="65"/>
      <c r="AI71" s="65"/>
      <c r="AJ71" s="65"/>
      <c r="AK71" s="65"/>
    </row>
    <row r="72" spans="1:37" ht="51.95" customHeight="1" x14ac:dyDescent="0.25">
      <c r="A72" s="158" t="s">
        <v>284</v>
      </c>
      <c r="B72" s="156" t="s">
        <v>285</v>
      </c>
      <c r="C72" s="68" t="s">
        <v>290</v>
      </c>
      <c r="D72" s="71" t="s">
        <v>291</v>
      </c>
      <c r="E72" s="100" t="s">
        <v>51</v>
      </c>
      <c r="F72" s="61">
        <f>IF(E72="Remota",1,IF(E72="Inusual",2,IF(E72="Posible",3,IF(E72="Recurrente",4,5))))</f>
        <v>1</v>
      </c>
      <c r="G72" s="61" t="s">
        <v>46</v>
      </c>
      <c r="H72" s="65"/>
      <c r="I72" s="65"/>
      <c r="J72" s="58">
        <f>F72</f>
        <v>1</v>
      </c>
      <c r="K72" s="65"/>
      <c r="L72" s="65"/>
      <c r="M72" s="65"/>
      <c r="N72" s="65"/>
      <c r="O72" s="65"/>
      <c r="P72" s="65"/>
      <c r="Q72" s="65"/>
      <c r="R72" s="65"/>
      <c r="S72" s="65"/>
      <c r="T72" s="65"/>
      <c r="U72" s="65"/>
      <c r="V72" s="65"/>
      <c r="W72" s="65"/>
      <c r="X72" s="65"/>
      <c r="Y72" s="65"/>
      <c r="Z72" s="65"/>
      <c r="AA72" s="65"/>
      <c r="AB72" s="65"/>
      <c r="AC72" s="65"/>
      <c r="AD72" s="58">
        <f>F72</f>
        <v>1</v>
      </c>
      <c r="AE72" s="65"/>
      <c r="AF72" s="65"/>
      <c r="AG72" s="65"/>
      <c r="AH72" s="65"/>
      <c r="AI72" s="65"/>
      <c r="AJ72" s="65"/>
      <c r="AK72" s="65"/>
    </row>
    <row r="73" spans="1:37" ht="51.95" customHeight="1" x14ac:dyDescent="0.25">
      <c r="A73" s="158" t="s">
        <v>284</v>
      </c>
      <c r="B73" s="156" t="s">
        <v>285</v>
      </c>
      <c r="C73" s="72" t="s">
        <v>292</v>
      </c>
      <c r="D73" s="71" t="s">
        <v>293</v>
      </c>
      <c r="E73" s="99" t="s">
        <v>77</v>
      </c>
      <c r="F73" s="60">
        <f>IF(E73="SI",1,0)</f>
        <v>0</v>
      </c>
      <c r="G73" s="73" t="s">
        <v>40</v>
      </c>
      <c r="H73" s="65"/>
      <c r="I73" s="65"/>
      <c r="J73" s="65"/>
      <c r="K73" s="65"/>
      <c r="L73" s="65"/>
      <c r="M73" s="65"/>
      <c r="N73" s="65"/>
      <c r="O73" s="65"/>
      <c r="P73" s="65"/>
      <c r="Q73" s="65"/>
      <c r="R73" s="65"/>
      <c r="S73" s="61" t="s">
        <v>42</v>
      </c>
      <c r="T73" s="65"/>
      <c r="U73" s="73">
        <f>INDEX(Listas!$D$4:$D$8,MATCH(S73,Listas!$I$4:$I$8,0))*$F73</f>
        <v>0</v>
      </c>
      <c r="V73" s="73"/>
      <c r="W73" s="65"/>
      <c r="X73" s="65"/>
      <c r="Y73" s="65"/>
      <c r="Z73" s="65"/>
      <c r="AA73" s="65"/>
      <c r="AB73" s="65"/>
      <c r="AC73" s="61" t="s">
        <v>42</v>
      </c>
      <c r="AD73" s="65"/>
      <c r="AE73" s="73">
        <f>INDEX(Listas!$D$4:$D$8,MATCH(AC73,Listas!$I$4:$I$8,0))*$F73</f>
        <v>0</v>
      </c>
      <c r="AF73" s="73"/>
      <c r="AG73" s="65"/>
      <c r="AH73" s="65"/>
      <c r="AI73" s="65"/>
      <c r="AJ73" s="65"/>
      <c r="AK73" s="65"/>
    </row>
    <row r="74" spans="1:37" ht="51.95" customHeight="1" x14ac:dyDescent="0.25">
      <c r="A74" s="158" t="s">
        <v>284</v>
      </c>
      <c r="B74" s="156" t="s">
        <v>285</v>
      </c>
      <c r="C74" s="72" t="s">
        <v>294</v>
      </c>
      <c r="D74" s="71" t="s">
        <v>295</v>
      </c>
      <c r="E74" s="100" t="s">
        <v>41</v>
      </c>
      <c r="F74" s="61">
        <f>IF(E74="Minimo",1,IF(E74="Moderado",2,IF(E74="Serio",3,IF(E74="Grave",4,5))))</f>
        <v>1</v>
      </c>
      <c r="G74" s="73" t="s">
        <v>40</v>
      </c>
      <c r="H74" s="65"/>
      <c r="I74" s="65"/>
      <c r="J74" s="65"/>
      <c r="K74" s="65"/>
      <c r="L74" s="65"/>
      <c r="M74" s="65"/>
      <c r="N74" s="65"/>
      <c r="O74" s="65"/>
      <c r="P74" s="65"/>
      <c r="Q74" s="65"/>
      <c r="R74" s="65"/>
      <c r="S74" s="65"/>
      <c r="T74" s="58">
        <f>F74</f>
        <v>1</v>
      </c>
      <c r="U74" s="65"/>
      <c r="V74" s="65"/>
      <c r="W74" s="65"/>
      <c r="X74" s="65"/>
      <c r="Y74" s="65"/>
      <c r="Z74" s="65"/>
      <c r="AA74" s="65"/>
      <c r="AB74" s="65"/>
      <c r="AC74" s="65"/>
      <c r="AD74" s="65"/>
      <c r="AE74" s="58">
        <f>F74</f>
        <v>1</v>
      </c>
      <c r="AF74" s="58"/>
      <c r="AG74" s="65"/>
      <c r="AH74" s="65"/>
      <c r="AI74" s="65"/>
      <c r="AJ74" s="65"/>
      <c r="AK74" s="65"/>
    </row>
    <row r="75" spans="1:37" ht="51.95" customHeight="1" x14ac:dyDescent="0.25">
      <c r="A75" s="158" t="s">
        <v>284</v>
      </c>
      <c r="B75" s="156" t="s">
        <v>285</v>
      </c>
      <c r="C75" s="72" t="s">
        <v>296</v>
      </c>
      <c r="D75" s="71" t="s">
        <v>297</v>
      </c>
      <c r="E75" s="99" t="s">
        <v>77</v>
      </c>
      <c r="F75" s="60">
        <f>IF(E75="SI",1,0)</f>
        <v>0</v>
      </c>
      <c r="G75" s="73" t="s">
        <v>40</v>
      </c>
      <c r="H75" s="65"/>
      <c r="I75" s="61" t="s">
        <v>45</v>
      </c>
      <c r="J75" s="65"/>
      <c r="K75" s="73">
        <f>INDEX(Listas!$D$4:$D$8,MATCH(I75,Listas!$I$4:$I$8,0))*$F75</f>
        <v>0</v>
      </c>
      <c r="L75" s="73"/>
      <c r="M75" s="65"/>
      <c r="N75" s="61" t="s">
        <v>45</v>
      </c>
      <c r="O75" s="65"/>
      <c r="P75" s="73">
        <f>INDEX(Listas!$D$4:$D$8,MATCH(N75,Listas!$I$4:$I$8,0))*$F75</f>
        <v>0</v>
      </c>
      <c r="Q75" s="73"/>
      <c r="R75" s="65"/>
      <c r="S75" s="61" t="s">
        <v>45</v>
      </c>
      <c r="T75" s="65"/>
      <c r="U75" s="73">
        <f>INDEX(Listas!$D$4:$D$8,MATCH(S75,Listas!$I$4:$I$8,0))*$F75</f>
        <v>0</v>
      </c>
      <c r="V75" s="73"/>
      <c r="W75" s="65"/>
      <c r="X75" s="65"/>
      <c r="Y75" s="65"/>
      <c r="Z75" s="65"/>
      <c r="AA75" s="65"/>
      <c r="AB75" s="65"/>
      <c r="AC75" s="61" t="s">
        <v>45</v>
      </c>
      <c r="AD75" s="65"/>
      <c r="AE75" s="73">
        <f>INDEX(Listas!$D$4:$D$8,MATCH(AC75,Listas!$I$4:$I$8,0))*$F75</f>
        <v>0</v>
      </c>
      <c r="AF75" s="73"/>
      <c r="AG75" s="65"/>
      <c r="AH75" s="65"/>
      <c r="AI75" s="65"/>
      <c r="AJ75" s="65"/>
      <c r="AK75" s="65"/>
    </row>
    <row r="76" spans="1:37" ht="38.25" customHeight="1" x14ac:dyDescent="0.25">
      <c r="A76" s="158" t="s">
        <v>284</v>
      </c>
      <c r="B76" s="156" t="s">
        <v>298</v>
      </c>
      <c r="C76" s="68" t="s">
        <v>299</v>
      </c>
      <c r="D76" s="69" t="s">
        <v>300</v>
      </c>
      <c r="E76" s="99" t="s">
        <v>75</v>
      </c>
      <c r="F76" s="60">
        <f>IF(E76="SI",1,0)</f>
        <v>1</v>
      </c>
      <c r="G76" s="73" t="s">
        <v>40</v>
      </c>
      <c r="H76" s="65"/>
      <c r="I76" s="61" t="s">
        <v>45</v>
      </c>
      <c r="J76" s="65"/>
      <c r="K76" s="73">
        <f>INDEX(Listas!$D$4:$D$8,MATCH(I76,Listas!$I$4:$I$8,0))*$F76</f>
        <v>5</v>
      </c>
      <c r="L76" s="73"/>
      <c r="M76" s="65"/>
      <c r="N76" s="65"/>
      <c r="O76" s="65"/>
      <c r="P76" s="65"/>
      <c r="Q76" s="65"/>
      <c r="R76" s="65"/>
      <c r="S76" s="65"/>
      <c r="T76" s="65"/>
      <c r="U76" s="65"/>
      <c r="V76" s="65"/>
      <c r="W76" s="65"/>
      <c r="X76" s="65"/>
      <c r="Y76" s="65"/>
      <c r="Z76" s="65"/>
      <c r="AA76" s="65"/>
      <c r="AB76" s="65"/>
      <c r="AC76" s="61" t="s">
        <v>45</v>
      </c>
      <c r="AD76" s="65"/>
      <c r="AE76" s="73">
        <f>INDEX(Listas!$D$4:$D$8,MATCH(AC76,Listas!$I$4:$I$8,0))*$F76</f>
        <v>5</v>
      </c>
      <c r="AF76" s="73"/>
      <c r="AG76" s="65"/>
      <c r="AH76" s="65"/>
      <c r="AI76" s="65"/>
      <c r="AJ76" s="65"/>
      <c r="AK76" s="65"/>
    </row>
    <row r="77" spans="1:37" ht="36.75" customHeight="1" x14ac:dyDescent="0.25">
      <c r="A77" s="158" t="s">
        <v>284</v>
      </c>
      <c r="B77" s="156" t="s">
        <v>298</v>
      </c>
      <c r="C77" s="68" t="s">
        <v>301</v>
      </c>
      <c r="D77" s="71" t="s">
        <v>302</v>
      </c>
      <c r="E77" s="99" t="s">
        <v>75</v>
      </c>
      <c r="F77" s="60">
        <f>IF(E77="SI",1,0)</f>
        <v>1</v>
      </c>
      <c r="G77" s="73" t="s">
        <v>40</v>
      </c>
      <c r="H77" s="65"/>
      <c r="I77" s="61" t="s">
        <v>44</v>
      </c>
      <c r="J77" s="65"/>
      <c r="K77" s="73">
        <f>INDEX(Listas!$D$4:$D$8,MATCH(I77,Listas!$I$4:$I$8,0))*$F77</f>
        <v>4</v>
      </c>
      <c r="L77" s="73"/>
      <c r="M77" s="65"/>
      <c r="N77" s="65"/>
      <c r="O77" s="65"/>
      <c r="P77" s="65"/>
      <c r="Q77" s="65"/>
      <c r="R77" s="65"/>
      <c r="S77" s="65"/>
      <c r="T77" s="65"/>
      <c r="U77" s="65"/>
      <c r="V77" s="65"/>
      <c r="W77" s="65"/>
      <c r="X77" s="65"/>
      <c r="Y77" s="65"/>
      <c r="Z77" s="65"/>
      <c r="AA77" s="65"/>
      <c r="AB77" s="65"/>
      <c r="AC77" s="61" t="s">
        <v>44</v>
      </c>
      <c r="AD77" s="65"/>
      <c r="AE77" s="73">
        <f>INDEX(Listas!$D$4:$D$8,MATCH(AC77,Listas!$I$4:$I$8,0))*$F77</f>
        <v>4</v>
      </c>
      <c r="AF77" s="73"/>
      <c r="AG77" s="65"/>
      <c r="AH77" s="61" t="s">
        <v>44</v>
      </c>
      <c r="AI77" s="65"/>
      <c r="AJ77" s="73">
        <f>INDEX(Listas!$D$4:$D$8,MATCH(AH77,Listas!$I$4:$I$8,0))*$F77</f>
        <v>4</v>
      </c>
      <c r="AK77" s="73"/>
    </row>
    <row r="78" spans="1:37" ht="61.5" customHeight="1" x14ac:dyDescent="0.25">
      <c r="A78" s="158" t="s">
        <v>284</v>
      </c>
      <c r="B78" s="108" t="s">
        <v>569</v>
      </c>
      <c r="C78" s="107" t="s">
        <v>569</v>
      </c>
      <c r="D78" s="69" t="s">
        <v>576</v>
      </c>
      <c r="E78" s="99" t="s">
        <v>573</v>
      </c>
      <c r="F78" s="60">
        <f>IF(E78="Individual",10,IF(E78="Comunidad",20,30))</f>
        <v>30</v>
      </c>
      <c r="G78" s="73" t="s">
        <v>62</v>
      </c>
      <c r="H78" s="65"/>
      <c r="I78" s="109"/>
      <c r="J78" s="65"/>
      <c r="K78" s="65"/>
      <c r="L78" s="73">
        <f>F78</f>
        <v>30</v>
      </c>
      <c r="M78" s="65"/>
      <c r="N78" s="65"/>
      <c r="O78" s="65"/>
      <c r="P78" s="65"/>
      <c r="Q78" s="65"/>
      <c r="R78" s="65"/>
      <c r="S78" s="65"/>
      <c r="T78" s="65"/>
      <c r="U78" s="65"/>
      <c r="V78" s="73">
        <f>F78</f>
        <v>30</v>
      </c>
      <c r="W78" s="65"/>
      <c r="X78" s="65"/>
      <c r="Y78" s="65"/>
      <c r="Z78" s="65"/>
      <c r="AA78" s="65"/>
      <c r="AB78" s="65"/>
      <c r="AC78" s="109"/>
      <c r="AD78" s="65"/>
      <c r="AE78" s="65"/>
      <c r="AF78" s="65"/>
      <c r="AG78" s="65"/>
      <c r="AH78" s="109"/>
      <c r="AI78" s="65"/>
      <c r="AJ78" s="65"/>
      <c r="AK78" s="65"/>
    </row>
    <row r="79" spans="1:37" ht="52.5" customHeight="1" x14ac:dyDescent="0.25">
      <c r="A79" s="159" t="s">
        <v>303</v>
      </c>
      <c r="B79" s="155" t="s">
        <v>304</v>
      </c>
      <c r="C79" s="68" t="s">
        <v>304</v>
      </c>
      <c r="D79" s="71" t="s">
        <v>305</v>
      </c>
      <c r="E79" s="99" t="s">
        <v>77</v>
      </c>
      <c r="F79" s="60">
        <f>IF(E79="SI",0,1)</f>
        <v>1</v>
      </c>
      <c r="G79" s="73" t="s">
        <v>40</v>
      </c>
      <c r="H79" s="65"/>
      <c r="I79" s="65"/>
      <c r="J79" s="65"/>
      <c r="K79" s="65"/>
      <c r="L79" s="65"/>
      <c r="M79" s="65"/>
      <c r="N79" s="65"/>
      <c r="O79" s="65"/>
      <c r="P79" s="65"/>
      <c r="Q79" s="65"/>
      <c r="R79" s="65"/>
      <c r="S79" s="61" t="s">
        <v>43</v>
      </c>
      <c r="T79" s="65"/>
      <c r="U79" s="73">
        <f>INDEX(Listas!$D$4:$D$8,MATCH(S79,Listas!$I$4:$I$8,0))*$F79</f>
        <v>3</v>
      </c>
      <c r="V79" s="73"/>
      <c r="W79" s="65"/>
      <c r="X79" s="61" t="s">
        <v>42</v>
      </c>
      <c r="Y79" s="65"/>
      <c r="Z79" s="73">
        <f>INDEX(Listas!$D$4:$D$8,MATCH(X79,Listas!$I$4:$I$8,0))*$F79</f>
        <v>2</v>
      </c>
      <c r="AA79" s="73"/>
      <c r="AB79" s="65"/>
      <c r="AC79" s="61" t="s">
        <v>42</v>
      </c>
      <c r="AD79" s="65"/>
      <c r="AE79" s="73">
        <f>INDEX(Listas!$D$4:$D$8,MATCH(AC79,Listas!$I$4:$I$8,0))*$F79</f>
        <v>2</v>
      </c>
      <c r="AF79" s="73"/>
      <c r="AG79" s="65"/>
      <c r="AH79" s="65"/>
      <c r="AI79" s="65"/>
      <c r="AJ79" s="65"/>
      <c r="AK79" s="65"/>
    </row>
    <row r="80" spans="1:37" ht="51.75" customHeight="1" x14ac:dyDescent="0.25">
      <c r="A80" s="159" t="s">
        <v>303</v>
      </c>
      <c r="B80" s="155" t="s">
        <v>304</v>
      </c>
      <c r="C80" s="68" t="s">
        <v>306</v>
      </c>
      <c r="D80" s="71" t="s">
        <v>307</v>
      </c>
      <c r="E80" s="99" t="s">
        <v>77</v>
      </c>
      <c r="F80" s="60">
        <f>IF(E80="SI",0,1)</f>
        <v>1</v>
      </c>
      <c r="G80" s="73" t="s">
        <v>40</v>
      </c>
      <c r="H80" s="65"/>
      <c r="I80" s="65"/>
      <c r="J80" s="65"/>
      <c r="K80" s="65"/>
      <c r="L80" s="65"/>
      <c r="M80" s="65"/>
      <c r="N80" s="65"/>
      <c r="O80" s="65"/>
      <c r="P80" s="65"/>
      <c r="Q80" s="65"/>
      <c r="R80" s="65"/>
      <c r="S80" s="61" t="s">
        <v>42</v>
      </c>
      <c r="T80" s="65"/>
      <c r="U80" s="73">
        <f>INDEX(Listas!$D$4:$D$8,MATCH(S80,Listas!$I$4:$I$8,0))*$F80</f>
        <v>2</v>
      </c>
      <c r="V80" s="73"/>
      <c r="W80" s="65"/>
      <c r="X80" s="65"/>
      <c r="Y80" s="65"/>
      <c r="Z80" s="65"/>
      <c r="AA80" s="65"/>
      <c r="AB80" s="65"/>
      <c r="AC80" s="61" t="s">
        <v>42</v>
      </c>
      <c r="AD80" s="65"/>
      <c r="AE80" s="73">
        <f>INDEX(Listas!$D$4:$D$8,MATCH(AC80,Listas!$I$4:$I$8,0))*$F80</f>
        <v>2</v>
      </c>
      <c r="AF80" s="73"/>
      <c r="AG80" s="65"/>
      <c r="AH80" s="65"/>
      <c r="AI80" s="65"/>
      <c r="AJ80" s="65"/>
      <c r="AK80" s="65"/>
    </row>
    <row r="81" spans="1:37" ht="51.75" customHeight="1" x14ac:dyDescent="0.25">
      <c r="A81" s="159" t="s">
        <v>303</v>
      </c>
      <c r="B81" s="111" t="s">
        <v>569</v>
      </c>
      <c r="C81" s="107" t="s">
        <v>569</v>
      </c>
      <c r="D81" s="69" t="s">
        <v>577</v>
      </c>
      <c r="E81" s="99" t="s">
        <v>571</v>
      </c>
      <c r="F81" s="60">
        <f>IF(E81="Individual",10,IF(E81="Comunidad",20,30))</f>
        <v>10</v>
      </c>
      <c r="G81" s="73" t="s">
        <v>62</v>
      </c>
      <c r="H81" s="65"/>
      <c r="I81" s="65"/>
      <c r="J81" s="65"/>
      <c r="K81" s="65"/>
      <c r="L81" s="65"/>
      <c r="M81" s="65"/>
      <c r="N81" s="65"/>
      <c r="O81" s="65"/>
      <c r="P81" s="65"/>
      <c r="Q81" s="65"/>
      <c r="R81" s="65"/>
      <c r="S81" s="109"/>
      <c r="T81" s="65"/>
      <c r="U81" s="65"/>
      <c r="V81" s="73">
        <f>F81</f>
        <v>10</v>
      </c>
      <c r="W81" s="65"/>
      <c r="X81" s="65"/>
      <c r="Y81" s="65"/>
      <c r="Z81" s="65"/>
      <c r="AA81" s="65"/>
      <c r="AB81" s="65"/>
      <c r="AC81" s="109"/>
      <c r="AD81" s="65"/>
      <c r="AE81" s="65"/>
      <c r="AF81" s="73">
        <f>F81</f>
        <v>10</v>
      </c>
      <c r="AG81" s="65"/>
      <c r="AH81" s="65"/>
      <c r="AI81" s="65"/>
      <c r="AJ81" s="65"/>
      <c r="AK81" s="65"/>
    </row>
    <row r="82" spans="1:37" ht="63.75" customHeight="1" x14ac:dyDescent="0.25">
      <c r="A82" s="160" t="s">
        <v>308</v>
      </c>
      <c r="B82" s="155" t="s">
        <v>308</v>
      </c>
      <c r="C82" s="68" t="s">
        <v>309</v>
      </c>
      <c r="D82" s="71" t="s">
        <v>310</v>
      </c>
      <c r="E82" s="99" t="s">
        <v>77</v>
      </c>
      <c r="F82" s="60">
        <f>IF(E82="SI",1,0)</f>
        <v>0</v>
      </c>
      <c r="G82" s="73" t="s">
        <v>46</v>
      </c>
      <c r="H82" s="65"/>
      <c r="I82" s="61" t="s">
        <v>44</v>
      </c>
      <c r="J82" s="65"/>
      <c r="K82" s="73">
        <f>INDEX(Listas!$D$4:$D$8,MATCH(I82,Listas!$I$4:$I$8,0))*$F82</f>
        <v>0</v>
      </c>
      <c r="L82" s="73"/>
      <c r="M82" s="65"/>
      <c r="N82" s="61" t="s">
        <v>43</v>
      </c>
      <c r="O82" s="65"/>
      <c r="P82" s="73">
        <f>INDEX(Listas!$D$4:$D$8,MATCH(N82,Listas!$I$4:$I$8,0))*$F82</f>
        <v>0</v>
      </c>
      <c r="Q82" s="73"/>
      <c r="R82" s="65"/>
      <c r="S82" s="61" t="s">
        <v>43</v>
      </c>
      <c r="T82" s="65"/>
      <c r="U82" s="73">
        <f>INDEX(Listas!$D$4:$D$8,MATCH(S82,Listas!$I$4:$I$8,0))*$F82</f>
        <v>0</v>
      </c>
      <c r="V82" s="73"/>
      <c r="W82" s="65"/>
      <c r="X82" s="65"/>
      <c r="Y82" s="65"/>
      <c r="Z82" s="65"/>
      <c r="AA82" s="65"/>
      <c r="AB82" s="65"/>
      <c r="AC82" s="61" t="s">
        <v>43</v>
      </c>
      <c r="AD82" s="65"/>
      <c r="AE82" s="73">
        <f>INDEX(Listas!$D$4:$D$8,MATCH(AC82,Listas!$I$4:$I$8,0))*$F82</f>
        <v>0</v>
      </c>
      <c r="AF82" s="73"/>
      <c r="AG82" s="65"/>
      <c r="AH82" s="65"/>
      <c r="AI82" s="65"/>
      <c r="AJ82" s="65"/>
      <c r="AK82" s="65"/>
    </row>
    <row r="83" spans="1:37" ht="51.75" customHeight="1" x14ac:dyDescent="0.25">
      <c r="A83" s="160" t="s">
        <v>308</v>
      </c>
      <c r="B83" s="155" t="s">
        <v>308</v>
      </c>
      <c r="C83" s="68" t="s">
        <v>311</v>
      </c>
      <c r="D83" s="71" t="s">
        <v>312</v>
      </c>
      <c r="E83" s="99" t="s">
        <v>77</v>
      </c>
      <c r="F83" s="60">
        <f t="shared" si="2"/>
        <v>1</v>
      </c>
      <c r="G83" s="73" t="s">
        <v>46</v>
      </c>
      <c r="H83" s="65"/>
      <c r="I83" s="61" t="s">
        <v>45</v>
      </c>
      <c r="J83" s="65"/>
      <c r="K83" s="73">
        <f>INDEX(Listas!$D$4:$D$8,MATCH(I83,Listas!$I$4:$I$8,0))*$F83</f>
        <v>5</v>
      </c>
      <c r="L83" s="73"/>
      <c r="M83" s="65"/>
      <c r="N83" s="65"/>
      <c r="O83" s="65"/>
      <c r="P83" s="65"/>
      <c r="Q83" s="65"/>
      <c r="R83" s="65"/>
      <c r="S83" s="65"/>
      <c r="T83" s="65"/>
      <c r="U83" s="65"/>
      <c r="V83" s="65"/>
      <c r="W83" s="65"/>
      <c r="X83" s="65"/>
      <c r="Y83" s="65"/>
      <c r="Z83" s="65"/>
      <c r="AA83" s="65"/>
      <c r="AB83" s="65"/>
      <c r="AC83" s="61" t="s">
        <v>45</v>
      </c>
      <c r="AD83" s="65"/>
      <c r="AE83" s="73">
        <f>INDEX(Listas!$D$4:$D$8,MATCH(AC83,Listas!$I$4:$I$8,0))*$F83</f>
        <v>5</v>
      </c>
      <c r="AF83" s="73"/>
      <c r="AG83" s="65"/>
      <c r="AH83" s="65"/>
      <c r="AI83" s="65"/>
      <c r="AJ83" s="65"/>
      <c r="AK83" s="65"/>
    </row>
    <row r="84" spans="1:37" ht="51.75" customHeight="1" x14ac:dyDescent="0.25">
      <c r="A84" s="160" t="s">
        <v>308</v>
      </c>
      <c r="B84" s="155" t="s">
        <v>308</v>
      </c>
      <c r="C84" s="68" t="s">
        <v>313</v>
      </c>
      <c r="D84" s="71" t="s">
        <v>314</v>
      </c>
      <c r="E84" s="100" t="s">
        <v>44</v>
      </c>
      <c r="F84" s="61">
        <f>IF(E84="Minimo",1,IF(E84="Moderado",2,IF(E84="Serio",3,IF(E84="Grave",4,5))))</f>
        <v>4</v>
      </c>
      <c r="G84" s="61" t="s">
        <v>40</v>
      </c>
      <c r="H84" s="65"/>
      <c r="I84" s="65"/>
      <c r="J84" s="58">
        <f>F84</f>
        <v>4</v>
      </c>
      <c r="K84" s="65"/>
      <c r="L84" s="65"/>
      <c r="M84" s="65"/>
      <c r="N84" s="65"/>
      <c r="O84" s="65"/>
      <c r="P84" s="65"/>
      <c r="Q84" s="65"/>
      <c r="R84" s="65"/>
      <c r="S84" s="65"/>
      <c r="T84" s="65"/>
      <c r="U84" s="65"/>
      <c r="V84" s="65"/>
      <c r="W84" s="65"/>
      <c r="X84" s="65"/>
      <c r="Y84" s="65"/>
      <c r="Z84" s="65"/>
      <c r="AA84" s="65"/>
      <c r="AB84" s="65"/>
      <c r="AC84" s="65"/>
      <c r="AD84" s="58">
        <f>F84</f>
        <v>4</v>
      </c>
      <c r="AE84" s="65"/>
      <c r="AF84" s="65"/>
      <c r="AG84" s="65"/>
      <c r="AH84" s="65"/>
      <c r="AI84" s="65"/>
      <c r="AJ84" s="65"/>
      <c r="AK84" s="65"/>
    </row>
    <row r="85" spans="1:37" ht="51.75" customHeight="1" x14ac:dyDescent="0.25">
      <c r="A85" s="160" t="s">
        <v>308</v>
      </c>
      <c r="B85" s="155" t="s">
        <v>308</v>
      </c>
      <c r="C85" s="68" t="s">
        <v>315</v>
      </c>
      <c r="D85" s="71" t="s">
        <v>316</v>
      </c>
      <c r="E85" s="99" t="s">
        <v>75</v>
      </c>
      <c r="F85" s="60">
        <f>IF(E85="SI",1,0)</f>
        <v>1</v>
      </c>
      <c r="G85" s="73" t="s">
        <v>46</v>
      </c>
      <c r="H85" s="65"/>
      <c r="I85" s="61" t="s">
        <v>44</v>
      </c>
      <c r="J85" s="65"/>
      <c r="K85" s="73">
        <f>INDEX(Listas!$D$4:$D$8,MATCH(I85,Listas!$I$4:$I$8,0))*$F85</f>
        <v>4</v>
      </c>
      <c r="L85" s="73"/>
      <c r="M85" s="65"/>
      <c r="N85" s="65"/>
      <c r="O85" s="65"/>
      <c r="P85" s="65"/>
      <c r="Q85" s="65"/>
      <c r="R85" s="65"/>
      <c r="S85" s="65"/>
      <c r="T85" s="65"/>
      <c r="U85" s="65"/>
      <c r="V85" s="65"/>
      <c r="W85" s="65"/>
      <c r="X85" s="65"/>
      <c r="Y85" s="65"/>
      <c r="Z85" s="65"/>
      <c r="AA85" s="65"/>
      <c r="AB85" s="65"/>
      <c r="AC85" s="61" t="s">
        <v>44</v>
      </c>
      <c r="AD85" s="65"/>
      <c r="AE85" s="73">
        <f>INDEX(Listas!$D$4:$D$8,MATCH(AC85,Listas!$I$4:$I$8,0))*$F85</f>
        <v>4</v>
      </c>
      <c r="AF85" s="73"/>
      <c r="AG85" s="65"/>
      <c r="AH85" s="65"/>
      <c r="AI85" s="65"/>
      <c r="AJ85" s="65"/>
      <c r="AK85" s="65"/>
    </row>
    <row r="86" spans="1:37" ht="51.75" customHeight="1" x14ac:dyDescent="0.25">
      <c r="A86" s="160" t="s">
        <v>308</v>
      </c>
      <c r="B86" s="155" t="s">
        <v>308</v>
      </c>
      <c r="C86" s="68" t="s">
        <v>317</v>
      </c>
      <c r="D86" s="71" t="s">
        <v>318</v>
      </c>
      <c r="E86" s="100" t="s">
        <v>44</v>
      </c>
      <c r="F86" s="61">
        <f>IF(E86="Minimo",1,IF(E86="Moderado",2,IF(E86="Serio",3,IF(E86="Grave",4,5))))</f>
        <v>4</v>
      </c>
      <c r="G86" s="61" t="s">
        <v>40</v>
      </c>
      <c r="H86" s="65"/>
      <c r="I86" s="65"/>
      <c r="J86" s="58">
        <f>F86</f>
        <v>4</v>
      </c>
      <c r="K86" s="65"/>
      <c r="L86" s="65"/>
      <c r="M86" s="65"/>
      <c r="N86" s="65"/>
      <c r="O86" s="65"/>
      <c r="P86" s="65"/>
      <c r="Q86" s="65"/>
      <c r="R86" s="65"/>
      <c r="S86" s="65"/>
      <c r="T86" s="65"/>
      <c r="U86" s="65"/>
      <c r="V86" s="65"/>
      <c r="W86" s="65"/>
      <c r="X86" s="65"/>
      <c r="Y86" s="65"/>
      <c r="Z86" s="65"/>
      <c r="AA86" s="65"/>
      <c r="AB86" s="65"/>
      <c r="AC86" s="65"/>
      <c r="AD86" s="58">
        <f>F86</f>
        <v>4</v>
      </c>
      <c r="AE86" s="65"/>
      <c r="AF86" s="65"/>
      <c r="AG86" s="65"/>
      <c r="AH86" s="65"/>
      <c r="AI86" s="65"/>
      <c r="AJ86" s="65"/>
      <c r="AK86" s="65"/>
    </row>
    <row r="87" spans="1:37" ht="51.75" customHeight="1" x14ac:dyDescent="0.25">
      <c r="A87" s="160" t="s">
        <v>308</v>
      </c>
      <c r="B87" s="155" t="s">
        <v>308</v>
      </c>
      <c r="C87" s="105" t="s">
        <v>319</v>
      </c>
      <c r="D87" s="112" t="s">
        <v>320</v>
      </c>
      <c r="E87" s="113" t="s">
        <v>75</v>
      </c>
      <c r="F87" s="114">
        <f>IF(E87="SI",1,0)</f>
        <v>1</v>
      </c>
      <c r="G87" s="115" t="s">
        <v>40</v>
      </c>
      <c r="H87" s="116"/>
      <c r="I87" s="115" t="s">
        <v>43</v>
      </c>
      <c r="J87" s="116"/>
      <c r="K87" s="117">
        <f>INDEX(Listas!$D$4:$D$8,MATCH(I87,Listas!$I$4:$I$8,0))*$F87</f>
        <v>3</v>
      </c>
      <c r="L87" s="117"/>
      <c r="M87" s="116"/>
      <c r="N87" s="116"/>
      <c r="O87" s="116"/>
      <c r="P87" s="116"/>
      <c r="Q87" s="116"/>
      <c r="R87" s="116"/>
      <c r="S87" s="115" t="s">
        <v>43</v>
      </c>
      <c r="T87" s="116"/>
      <c r="U87" s="117">
        <f>INDEX(Listas!$D$4:$D$8,MATCH(S87,Listas!$I$4:$I$8,0))*$F87</f>
        <v>3</v>
      </c>
      <c r="V87" s="117"/>
      <c r="W87" s="116"/>
      <c r="X87" s="116"/>
      <c r="Y87" s="116"/>
      <c r="Z87" s="116"/>
      <c r="AA87" s="116"/>
      <c r="AB87" s="116"/>
      <c r="AC87" s="115" t="s">
        <v>42</v>
      </c>
      <c r="AD87" s="116"/>
      <c r="AE87" s="117">
        <f>INDEX(Listas!$D$4:$D$8,MATCH(AC87,Listas!$I$4:$I$8,0))*$F87</f>
        <v>2</v>
      </c>
      <c r="AF87" s="117"/>
      <c r="AG87" s="116"/>
      <c r="AH87" s="116"/>
      <c r="AI87" s="116"/>
      <c r="AJ87" s="116"/>
      <c r="AK87" s="116"/>
    </row>
    <row r="88" spans="1:37" s="128" customFormat="1" ht="75.75" customHeight="1" x14ac:dyDescent="0.25">
      <c r="A88" s="160" t="s">
        <v>308</v>
      </c>
      <c r="B88" s="133" t="s">
        <v>569</v>
      </c>
      <c r="C88" s="110" t="s">
        <v>569</v>
      </c>
      <c r="D88" s="129" t="s">
        <v>578</v>
      </c>
      <c r="E88" s="125" t="s">
        <v>571</v>
      </c>
      <c r="F88" s="124">
        <f>IF(E88="Individual",10,IF(E88="Comunidad",20,30))</f>
        <v>10</v>
      </c>
      <c r="G88" s="127" t="s">
        <v>62</v>
      </c>
      <c r="H88" s="126"/>
      <c r="I88" s="126"/>
      <c r="J88" s="126"/>
      <c r="K88" s="126"/>
      <c r="L88" s="126"/>
      <c r="M88" s="126"/>
      <c r="N88" s="126"/>
      <c r="O88" s="126"/>
      <c r="P88" s="126"/>
      <c r="Q88" s="126"/>
      <c r="R88" s="126"/>
      <c r="S88" s="126"/>
      <c r="T88" s="126"/>
      <c r="U88" s="126"/>
      <c r="V88" s="117">
        <f>F88</f>
        <v>10</v>
      </c>
      <c r="W88" s="126"/>
      <c r="X88" s="126"/>
      <c r="Y88" s="126"/>
      <c r="Z88" s="126"/>
      <c r="AA88" s="126"/>
      <c r="AB88" s="126"/>
      <c r="AC88" s="126"/>
      <c r="AD88" s="126"/>
      <c r="AE88" s="126"/>
      <c r="AF88" s="117">
        <f>F88</f>
        <v>10</v>
      </c>
      <c r="AG88" s="126"/>
      <c r="AH88" s="126"/>
      <c r="AI88" s="126"/>
      <c r="AJ88" s="126"/>
      <c r="AK88" s="126"/>
    </row>
    <row r="89" spans="1:37" ht="48" customHeight="1" x14ac:dyDescent="0.25">
      <c r="A89" s="157" t="s">
        <v>321</v>
      </c>
      <c r="B89" s="173" t="s">
        <v>321</v>
      </c>
      <c r="C89" s="163" t="s">
        <v>322</v>
      </c>
      <c r="D89" s="118" t="s">
        <v>323</v>
      </c>
      <c r="E89" s="119" t="s">
        <v>75</v>
      </c>
      <c r="F89" s="120">
        <f t="shared" si="2"/>
        <v>0</v>
      </c>
      <c r="G89" s="121" t="s">
        <v>46</v>
      </c>
      <c r="H89" s="123"/>
      <c r="I89" s="123"/>
      <c r="J89" s="123"/>
      <c r="K89" s="123"/>
      <c r="L89" s="123"/>
      <c r="M89" s="123"/>
      <c r="N89" s="123"/>
      <c r="O89" s="123"/>
      <c r="P89" s="123"/>
      <c r="Q89" s="123"/>
      <c r="R89" s="123"/>
      <c r="S89" s="123"/>
      <c r="T89" s="123"/>
      <c r="U89" s="123"/>
      <c r="V89" s="123"/>
      <c r="W89" s="123"/>
      <c r="X89" s="123"/>
      <c r="Y89" s="123"/>
      <c r="Z89" s="123"/>
      <c r="AA89" s="123"/>
      <c r="AB89" s="123"/>
      <c r="AC89" s="123"/>
      <c r="AD89" s="123"/>
      <c r="AE89" s="123"/>
      <c r="AF89" s="123"/>
      <c r="AG89" s="123"/>
      <c r="AH89" s="122" t="s">
        <v>43</v>
      </c>
      <c r="AI89" s="123"/>
      <c r="AJ89" s="121">
        <f>INDEX(Listas!$D$4:$D$8,MATCH(AH89,Listas!$I$4:$I$8,0))*$F89</f>
        <v>0</v>
      </c>
      <c r="AK89" s="121"/>
    </row>
    <row r="90" spans="1:37" ht="43.5" customHeight="1" x14ac:dyDescent="0.25">
      <c r="A90" s="157" t="s">
        <v>321</v>
      </c>
      <c r="B90" s="173" t="s">
        <v>321</v>
      </c>
      <c r="C90" s="177" t="s">
        <v>324</v>
      </c>
      <c r="D90" s="71" t="s">
        <v>325</v>
      </c>
      <c r="E90" s="99" t="s">
        <v>75</v>
      </c>
      <c r="F90" s="60">
        <f t="shared" si="2"/>
        <v>0</v>
      </c>
      <c r="G90" s="73" t="s">
        <v>46</v>
      </c>
      <c r="H90" s="65"/>
      <c r="I90" s="61" t="s">
        <v>43</v>
      </c>
      <c r="J90" s="65"/>
      <c r="K90" s="73">
        <f>INDEX(Listas!$D$4:$D$8,MATCH(I90,Listas!$I$4:$I$8,0))*$F90</f>
        <v>0</v>
      </c>
      <c r="L90" s="73"/>
      <c r="M90" s="65"/>
      <c r="N90" s="65"/>
      <c r="O90" s="65"/>
      <c r="P90" s="65"/>
      <c r="Q90" s="65"/>
      <c r="R90" s="65"/>
      <c r="S90" s="61" t="s">
        <v>43</v>
      </c>
      <c r="T90" s="65"/>
      <c r="U90" s="73">
        <f>INDEX(Listas!$D$4:$D$8,MATCH(S90,Listas!$I$4:$I$8,0))*$F90</f>
        <v>0</v>
      </c>
      <c r="V90" s="73"/>
      <c r="W90" s="65"/>
      <c r="X90" s="65"/>
      <c r="Y90" s="65"/>
      <c r="Z90" s="65"/>
      <c r="AA90" s="65"/>
      <c r="AB90" s="65"/>
      <c r="AC90" s="65"/>
      <c r="AD90" s="65"/>
      <c r="AE90" s="65"/>
      <c r="AF90" s="65"/>
      <c r="AG90" s="65"/>
      <c r="AH90" s="61" t="s">
        <v>44</v>
      </c>
      <c r="AI90" s="65"/>
      <c r="AJ90" s="73">
        <f>INDEX(Listas!$D$4:$D$8,MATCH(AH90,Listas!$I$4:$I$8,0))*$F90</f>
        <v>0</v>
      </c>
      <c r="AK90" s="73"/>
    </row>
    <row r="91" spans="1:37" ht="43.5" customHeight="1" x14ac:dyDescent="0.25">
      <c r="A91" s="157" t="s">
        <v>321</v>
      </c>
      <c r="B91" s="173" t="s">
        <v>321</v>
      </c>
      <c r="C91" s="177" t="s">
        <v>326</v>
      </c>
      <c r="D91" s="71" t="s">
        <v>327</v>
      </c>
      <c r="E91" s="99" t="s">
        <v>75</v>
      </c>
      <c r="F91" s="60">
        <f t="shared" si="2"/>
        <v>0</v>
      </c>
      <c r="G91" s="73" t="s">
        <v>46</v>
      </c>
      <c r="H91" s="65"/>
      <c r="I91" s="65"/>
      <c r="J91" s="65"/>
      <c r="K91" s="65"/>
      <c r="L91" s="65"/>
      <c r="M91" s="65"/>
      <c r="N91" s="65"/>
      <c r="O91" s="65"/>
      <c r="P91" s="65"/>
      <c r="Q91" s="65"/>
      <c r="R91" s="65"/>
      <c r="S91" s="61" t="s">
        <v>44</v>
      </c>
      <c r="T91" s="65"/>
      <c r="U91" s="73">
        <f>INDEX(Listas!$D$4:$D$8,MATCH(S91,Listas!$I$4:$I$8,0))*$F91</f>
        <v>0</v>
      </c>
      <c r="V91" s="73"/>
      <c r="W91" s="65"/>
      <c r="X91" s="61" t="s">
        <v>43</v>
      </c>
      <c r="Y91" s="65"/>
      <c r="Z91" s="73">
        <f>INDEX(Listas!$D$4:$D$8,MATCH(X91,Listas!$I$4:$I$8,0))*$F91</f>
        <v>0</v>
      </c>
      <c r="AA91" s="73"/>
      <c r="AB91" s="65"/>
      <c r="AC91" s="65"/>
      <c r="AD91" s="65"/>
      <c r="AE91" s="65"/>
      <c r="AF91" s="65"/>
      <c r="AG91" s="65"/>
      <c r="AH91" s="61" t="s">
        <v>43</v>
      </c>
      <c r="AI91" s="65"/>
      <c r="AJ91" s="73">
        <f>INDEX(Listas!$D$4:$D$8,MATCH(AH91,Listas!$I$4:$I$8,0))*$F91</f>
        <v>0</v>
      </c>
      <c r="AK91" s="73"/>
    </row>
    <row r="92" spans="1:37" ht="43.5" customHeight="1" x14ac:dyDescent="0.25">
      <c r="A92" s="157" t="s">
        <v>321</v>
      </c>
      <c r="B92" s="173" t="s">
        <v>321</v>
      </c>
      <c r="C92" s="178" t="s">
        <v>328</v>
      </c>
      <c r="D92" s="73" t="s">
        <v>329</v>
      </c>
      <c r="E92" s="99" t="s">
        <v>75</v>
      </c>
      <c r="F92" s="60">
        <f t="shared" si="2"/>
        <v>0</v>
      </c>
      <c r="G92" s="73" t="s">
        <v>46</v>
      </c>
      <c r="H92" s="65"/>
      <c r="I92" s="65"/>
      <c r="J92" s="65"/>
      <c r="K92" s="65"/>
      <c r="L92" s="65"/>
      <c r="M92" s="65"/>
      <c r="N92" s="65"/>
      <c r="O92" s="65"/>
      <c r="P92" s="65"/>
      <c r="Q92" s="65"/>
      <c r="R92" s="65"/>
      <c r="S92" s="61" t="s">
        <v>43</v>
      </c>
      <c r="T92" s="65"/>
      <c r="U92" s="73">
        <f>INDEX(Listas!$D$4:$D$8,MATCH(S92,Listas!$I$4:$I$8,0))*$F92</f>
        <v>0</v>
      </c>
      <c r="V92" s="73"/>
      <c r="W92" s="65"/>
      <c r="X92" s="65"/>
      <c r="Y92" s="65"/>
      <c r="Z92" s="65"/>
      <c r="AA92" s="65"/>
      <c r="AB92" s="65"/>
      <c r="AC92" s="65"/>
      <c r="AD92" s="65"/>
      <c r="AE92" s="65"/>
      <c r="AF92" s="65"/>
      <c r="AG92" s="65"/>
      <c r="AH92" s="61" t="s">
        <v>43</v>
      </c>
      <c r="AI92" s="65"/>
      <c r="AJ92" s="73">
        <f>INDEX(Listas!$D$4:$D$8,MATCH(AH92,Listas!$I$4:$I$8,0))*$F92</f>
        <v>0</v>
      </c>
      <c r="AK92" s="73"/>
    </row>
    <row r="93" spans="1:37" ht="43.5" customHeight="1" x14ac:dyDescent="0.25">
      <c r="A93" s="157" t="s">
        <v>321</v>
      </c>
      <c r="B93" s="173" t="s">
        <v>321</v>
      </c>
      <c r="C93" s="177" t="s">
        <v>330</v>
      </c>
      <c r="D93" s="74" t="s">
        <v>331</v>
      </c>
      <c r="E93" s="99" t="s">
        <v>77</v>
      </c>
      <c r="F93" s="60">
        <f t="shared" si="2"/>
        <v>1</v>
      </c>
      <c r="G93" s="73" t="s">
        <v>40</v>
      </c>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1" t="s">
        <v>42</v>
      </c>
      <c r="AI93" s="65"/>
      <c r="AJ93" s="73">
        <f>INDEX(Listas!$D$4:$D$8,MATCH(AH93,Listas!$I$4:$I$8,0))*$F93</f>
        <v>2</v>
      </c>
      <c r="AK93" s="73"/>
    </row>
    <row r="94" spans="1:37" ht="43.5" customHeight="1" x14ac:dyDescent="0.25">
      <c r="A94" s="157" t="s">
        <v>321</v>
      </c>
      <c r="B94" s="173" t="s">
        <v>321</v>
      </c>
      <c r="C94" s="177" t="s">
        <v>175</v>
      </c>
      <c r="D94" s="74" t="s">
        <v>332</v>
      </c>
      <c r="E94" s="99" t="s">
        <v>77</v>
      </c>
      <c r="F94" s="60">
        <f>IF(E94="SI",1,0)</f>
        <v>0</v>
      </c>
      <c r="G94" s="73" t="s">
        <v>46</v>
      </c>
      <c r="H94" s="65"/>
      <c r="I94" s="65"/>
      <c r="J94" s="65"/>
      <c r="K94" s="65"/>
      <c r="L94" s="65"/>
      <c r="M94" s="65"/>
      <c r="N94" s="65"/>
      <c r="O94" s="65"/>
      <c r="P94" s="65"/>
      <c r="Q94" s="65"/>
      <c r="R94" s="65"/>
      <c r="S94" s="61" t="s">
        <v>43</v>
      </c>
      <c r="T94" s="65"/>
      <c r="U94" s="73">
        <f>INDEX(Listas!$D$4:$D$8,MATCH(S94,Listas!$I$4:$I$8,0))*$F94</f>
        <v>0</v>
      </c>
      <c r="V94" s="73"/>
      <c r="W94" s="65"/>
      <c r="X94" s="65"/>
      <c r="Y94" s="65"/>
      <c r="Z94" s="65"/>
      <c r="AA94" s="65"/>
      <c r="AB94" s="65"/>
      <c r="AC94" s="65"/>
      <c r="AD94" s="65"/>
      <c r="AE94" s="65"/>
      <c r="AF94" s="65"/>
      <c r="AG94" s="65"/>
      <c r="AH94" s="61" t="s">
        <v>42</v>
      </c>
      <c r="AI94" s="65"/>
      <c r="AJ94" s="73">
        <f>INDEX(Listas!$D$4:$D$8,MATCH(AH94,Listas!$I$4:$I$8,0))*$F94</f>
        <v>0</v>
      </c>
      <c r="AK94" s="73"/>
    </row>
    <row r="95" spans="1:37" ht="81.75" customHeight="1" x14ac:dyDescent="0.25">
      <c r="A95" s="157" t="s">
        <v>321</v>
      </c>
      <c r="B95" s="173" t="s">
        <v>321</v>
      </c>
      <c r="C95" s="177" t="s">
        <v>333</v>
      </c>
      <c r="D95" s="73" t="s">
        <v>334</v>
      </c>
      <c r="E95" s="99" t="s">
        <v>77</v>
      </c>
      <c r="F95" s="60">
        <f>IF(E95="SI",1,0)</f>
        <v>0</v>
      </c>
      <c r="G95" s="73" t="s">
        <v>46</v>
      </c>
      <c r="H95" s="65"/>
      <c r="I95" s="61" t="s">
        <v>43</v>
      </c>
      <c r="J95" s="65"/>
      <c r="K95" s="73">
        <f>INDEX(Listas!$D$4:$D$8,MATCH(I95,Listas!$I$4:$I$8,0))*$F95</f>
        <v>0</v>
      </c>
      <c r="L95" s="73"/>
      <c r="M95" s="65"/>
      <c r="N95" s="65"/>
      <c r="O95" s="65"/>
      <c r="P95" s="65"/>
      <c r="Q95" s="65"/>
      <c r="R95" s="65"/>
      <c r="S95" s="65"/>
      <c r="T95" s="65"/>
      <c r="U95" s="65"/>
      <c r="V95" s="65"/>
      <c r="W95" s="65"/>
      <c r="X95" s="65"/>
      <c r="Y95" s="65"/>
      <c r="Z95" s="65"/>
      <c r="AA95" s="65"/>
      <c r="AB95" s="65"/>
      <c r="AC95" s="65"/>
      <c r="AD95" s="65"/>
      <c r="AE95" s="65"/>
      <c r="AF95" s="65"/>
      <c r="AG95" s="65"/>
      <c r="AH95" s="61" t="s">
        <v>43</v>
      </c>
      <c r="AI95" s="65"/>
      <c r="AJ95" s="73">
        <f>INDEX(Listas!$D$4:$D$8,MATCH(AH95,Listas!$I$4:$I$8,0))*$F95</f>
        <v>0</v>
      </c>
      <c r="AK95" s="73"/>
    </row>
    <row r="96" spans="1:37" ht="81.75" customHeight="1" x14ac:dyDescent="0.25">
      <c r="A96" s="157" t="s">
        <v>321</v>
      </c>
      <c r="B96" s="133" t="s">
        <v>569</v>
      </c>
      <c r="C96" s="110" t="s">
        <v>569</v>
      </c>
      <c r="D96" s="129" t="s">
        <v>579</v>
      </c>
      <c r="E96" s="125" t="s">
        <v>572</v>
      </c>
      <c r="F96" s="124">
        <f>IF(E96="Individual",10,IF(E96="Comunidad",20,30))</f>
        <v>20</v>
      </c>
      <c r="G96" s="127" t="s">
        <v>62</v>
      </c>
      <c r="H96" s="130"/>
      <c r="I96" s="131"/>
      <c r="J96" s="130"/>
      <c r="K96" s="132"/>
      <c r="L96" s="132"/>
      <c r="M96" s="130"/>
      <c r="N96" s="130"/>
      <c r="O96" s="130"/>
      <c r="P96" s="130"/>
      <c r="Q96" s="130"/>
      <c r="R96" s="130"/>
      <c r="S96" s="130"/>
      <c r="T96" s="130"/>
      <c r="U96" s="130"/>
      <c r="V96" s="130"/>
      <c r="W96" s="130"/>
      <c r="X96" s="130"/>
      <c r="Y96" s="130"/>
      <c r="Z96" s="130"/>
      <c r="AA96" s="130"/>
      <c r="AB96" s="130"/>
      <c r="AC96" s="130"/>
      <c r="AD96" s="130"/>
      <c r="AE96" s="130"/>
      <c r="AF96" s="130"/>
      <c r="AG96" s="130"/>
      <c r="AH96" s="131"/>
      <c r="AI96" s="130"/>
      <c r="AJ96" s="132"/>
      <c r="AK96" s="73">
        <f>F96</f>
        <v>20</v>
      </c>
    </row>
    <row r="97" spans="1:37" s="137" customFormat="1" ht="48" customHeight="1" x14ac:dyDescent="0.25">
      <c r="A97" s="157" t="s">
        <v>590</v>
      </c>
      <c r="B97" s="173" t="s">
        <v>580</v>
      </c>
      <c r="C97" s="135" t="s">
        <v>581</v>
      </c>
      <c r="D97" s="136" t="s">
        <v>582</v>
      </c>
      <c r="E97" s="135" t="s">
        <v>77</v>
      </c>
      <c r="F97" s="138">
        <f t="shared" ref="F97:F101" si="3">IF(E97="SI",0,1)</f>
        <v>1</v>
      </c>
      <c r="G97" s="139" t="s">
        <v>40</v>
      </c>
      <c r="H97" s="140"/>
      <c r="I97" s="140"/>
      <c r="J97" s="140"/>
      <c r="K97" s="140"/>
      <c r="L97" s="140"/>
      <c r="M97" s="140"/>
      <c r="N97" s="140"/>
      <c r="O97" s="140"/>
      <c r="P97" s="140"/>
      <c r="Q97" s="140"/>
      <c r="R97" s="140"/>
      <c r="S97" s="140"/>
      <c r="T97" s="140"/>
      <c r="U97" s="140"/>
      <c r="V97" s="140"/>
      <c r="W97" s="140"/>
      <c r="X97" s="141" t="s">
        <v>42</v>
      </c>
      <c r="Y97" s="140"/>
      <c r="Z97" s="139">
        <f>INDEX(Listas!$D$4:$D$8,MATCH(X97,Listas!$I$4:$I$8,0))*$F97</f>
        <v>2</v>
      </c>
      <c r="AA97" s="140"/>
      <c r="AB97" s="140"/>
      <c r="AC97" s="140"/>
      <c r="AD97" s="140"/>
      <c r="AE97" s="140"/>
      <c r="AF97" s="140"/>
      <c r="AG97" s="140"/>
      <c r="AH97" s="140"/>
      <c r="AI97" s="140"/>
      <c r="AJ97" s="140"/>
      <c r="AK97" s="140"/>
    </row>
    <row r="98" spans="1:37" s="137" customFormat="1" ht="53.25" customHeight="1" x14ac:dyDescent="0.25">
      <c r="A98" s="157" t="s">
        <v>590</v>
      </c>
      <c r="B98" s="173" t="s">
        <v>580</v>
      </c>
      <c r="C98" s="142" t="s">
        <v>583</v>
      </c>
      <c r="D98" s="143" t="s">
        <v>584</v>
      </c>
      <c r="E98" s="142" t="s">
        <v>77</v>
      </c>
      <c r="F98" s="144">
        <f t="shared" si="3"/>
        <v>1</v>
      </c>
      <c r="G98" s="139" t="s">
        <v>40</v>
      </c>
      <c r="H98" s="139"/>
      <c r="I98" s="139"/>
      <c r="J98" s="139"/>
      <c r="K98" s="139"/>
      <c r="L98" s="139"/>
      <c r="M98" s="139"/>
      <c r="N98" s="141" t="s">
        <v>43</v>
      </c>
      <c r="O98" s="139"/>
      <c r="P98" s="139">
        <f>INDEX(Listas!$D$4:$D$8,MATCH(N98,Listas!$I$4:$I$8,0))*$F98</f>
        <v>3</v>
      </c>
      <c r="Q98" s="139"/>
      <c r="R98" s="139"/>
      <c r="S98" s="139"/>
      <c r="T98" s="139"/>
      <c r="U98" s="139"/>
      <c r="V98" s="139"/>
      <c r="W98" s="139"/>
      <c r="X98" s="141" t="s">
        <v>43</v>
      </c>
      <c r="Y98" s="139"/>
      <c r="Z98" s="139">
        <f>INDEX(Listas!$D$4:$D$8,MATCH(X98,Listas!$I$4:$I$8,0))*$F98</f>
        <v>3</v>
      </c>
      <c r="AA98" s="139"/>
      <c r="AB98" s="139"/>
      <c r="AC98" s="139"/>
      <c r="AD98" s="139"/>
      <c r="AE98" s="139"/>
      <c r="AF98" s="139"/>
      <c r="AG98" s="139"/>
      <c r="AH98" s="139"/>
      <c r="AI98" s="139"/>
      <c r="AJ98" s="139"/>
      <c r="AK98" s="139"/>
    </row>
    <row r="99" spans="1:37" s="147" customFormat="1" ht="43.5" customHeight="1" x14ac:dyDescent="0.25">
      <c r="A99" s="157" t="s">
        <v>590</v>
      </c>
      <c r="B99" s="173" t="s">
        <v>580</v>
      </c>
      <c r="C99" s="145" t="s">
        <v>586</v>
      </c>
      <c r="D99" s="146" t="s">
        <v>585</v>
      </c>
      <c r="E99" s="145" t="s">
        <v>77</v>
      </c>
      <c r="F99" s="148">
        <f t="shared" si="3"/>
        <v>1</v>
      </c>
      <c r="G99" s="149" t="s">
        <v>40</v>
      </c>
      <c r="H99" s="149"/>
      <c r="I99" s="149"/>
      <c r="J99" s="149"/>
      <c r="K99" s="149"/>
      <c r="L99" s="149"/>
      <c r="M99" s="149"/>
      <c r="N99" s="149"/>
      <c r="O99" s="149"/>
      <c r="P99" s="149"/>
      <c r="Q99" s="149"/>
      <c r="R99" s="149"/>
      <c r="S99" s="150" t="s">
        <v>43</v>
      </c>
      <c r="T99" s="149"/>
      <c r="U99" s="149">
        <f>INDEX(Listas!$D$4:$D$8,MATCH(S99,Listas!$I$4:$I$8,0))*$F99</f>
        <v>3</v>
      </c>
      <c r="V99" s="149"/>
      <c r="W99" s="149"/>
      <c r="X99" s="150" t="s">
        <v>43</v>
      </c>
      <c r="Y99" s="149"/>
      <c r="Z99" s="149">
        <f>INDEX(Listas!$D$4:$D$8,MATCH(X99,Listas!$I$4:$I$8,0))*$F99</f>
        <v>3</v>
      </c>
      <c r="AA99" s="149"/>
      <c r="AB99" s="149"/>
      <c r="AC99" s="149"/>
      <c r="AD99" s="149"/>
      <c r="AE99" s="149"/>
      <c r="AF99" s="149"/>
      <c r="AG99" s="149"/>
      <c r="AH99" s="149"/>
      <c r="AI99" s="149"/>
      <c r="AJ99" s="149"/>
      <c r="AK99" s="149"/>
    </row>
    <row r="100" spans="1:37" s="137" customFormat="1" ht="43.5" customHeight="1" x14ac:dyDescent="0.25">
      <c r="A100" s="157" t="s">
        <v>590</v>
      </c>
      <c r="B100" s="174" t="s">
        <v>588</v>
      </c>
      <c r="C100" s="142" t="s">
        <v>592</v>
      </c>
      <c r="D100" s="151" t="s">
        <v>591</v>
      </c>
      <c r="E100" s="142" t="s">
        <v>77</v>
      </c>
      <c r="F100" s="144">
        <f t="shared" si="3"/>
        <v>1</v>
      </c>
      <c r="G100" s="139" t="s">
        <v>40</v>
      </c>
      <c r="H100" s="139"/>
      <c r="I100" s="141" t="s">
        <v>43</v>
      </c>
      <c r="J100" s="139"/>
      <c r="K100" s="139">
        <f>INDEX(Listas!$D$4:$D$8,MATCH(I100,Listas!$I$4:$I$8,0))*$F100</f>
        <v>3</v>
      </c>
      <c r="L100" s="139"/>
      <c r="M100" s="139"/>
      <c r="N100" s="139"/>
      <c r="O100" s="139"/>
      <c r="P100" s="139"/>
      <c r="Q100" s="139"/>
      <c r="R100" s="139"/>
      <c r="S100" s="139"/>
      <c r="T100" s="139"/>
      <c r="U100" s="139"/>
      <c r="V100" s="139"/>
      <c r="W100" s="139"/>
      <c r="X100" s="141" t="s">
        <v>44</v>
      </c>
      <c r="Y100" s="139"/>
      <c r="Z100" s="139">
        <f>INDEX(Listas!$D$4:$D$8,MATCH(X100,Listas!$I$4:$I$8,0))*$F100</f>
        <v>4</v>
      </c>
      <c r="AA100" s="139"/>
      <c r="AB100" s="139"/>
      <c r="AC100" s="139"/>
      <c r="AD100" s="139"/>
      <c r="AE100" s="139"/>
      <c r="AF100" s="139"/>
      <c r="AG100" s="139"/>
      <c r="AH100" s="139"/>
      <c r="AI100" s="139"/>
      <c r="AJ100" s="139"/>
      <c r="AK100" s="139"/>
    </row>
    <row r="101" spans="1:37" s="147" customFormat="1" ht="63" customHeight="1" x14ac:dyDescent="0.25">
      <c r="A101" s="157" t="s">
        <v>590</v>
      </c>
      <c r="B101" s="174" t="s">
        <v>588</v>
      </c>
      <c r="C101" s="145" t="s">
        <v>594</v>
      </c>
      <c r="D101" s="152" t="s">
        <v>593</v>
      </c>
      <c r="E101" s="145" t="s">
        <v>77</v>
      </c>
      <c r="F101" s="148">
        <f t="shared" si="3"/>
        <v>1</v>
      </c>
      <c r="G101" s="149" t="s">
        <v>40</v>
      </c>
      <c r="H101" s="149"/>
      <c r="I101" s="149"/>
      <c r="J101" s="149"/>
      <c r="K101" s="149"/>
      <c r="L101" s="149"/>
      <c r="M101" s="149"/>
      <c r="N101" s="150" t="s">
        <v>42</v>
      </c>
      <c r="O101" s="149"/>
      <c r="P101" s="149">
        <f>INDEX(Listas!$D$4:$D$8,MATCH(N101,Listas!$I$4:$I$8,0))*$F101</f>
        <v>2</v>
      </c>
      <c r="Q101" s="149"/>
      <c r="R101" s="149"/>
      <c r="S101" s="149"/>
      <c r="T101" s="149"/>
      <c r="U101" s="149"/>
      <c r="V101" s="149"/>
      <c r="W101" s="149"/>
      <c r="X101" s="150" t="s">
        <v>43</v>
      </c>
      <c r="Y101" s="149"/>
      <c r="Z101" s="149">
        <f>INDEX(Listas!$D$4:$D$8,MATCH(X101,Listas!$I$4:$I$8,0))*$F101</f>
        <v>3</v>
      </c>
      <c r="AA101" s="149"/>
      <c r="AB101" s="149"/>
      <c r="AC101" s="149"/>
      <c r="AD101" s="149"/>
      <c r="AE101" s="149"/>
      <c r="AF101" s="149"/>
      <c r="AG101" s="149"/>
      <c r="AH101" s="149"/>
      <c r="AI101" s="149"/>
      <c r="AJ101" s="149"/>
      <c r="AK101" s="149"/>
    </row>
    <row r="102" spans="1:37" ht="59.25" customHeight="1" x14ac:dyDescent="0.25">
      <c r="A102" s="157" t="s">
        <v>590</v>
      </c>
      <c r="B102" s="134" t="s">
        <v>569</v>
      </c>
      <c r="C102" s="110" t="s">
        <v>569</v>
      </c>
      <c r="D102" s="129" t="s">
        <v>589</v>
      </c>
      <c r="E102" s="125" t="s">
        <v>571</v>
      </c>
      <c r="F102" s="124">
        <f>IF(E102="Individual",10,IF(E102="Comunidad",20,30))</f>
        <v>10</v>
      </c>
      <c r="G102" s="127" t="s">
        <v>62</v>
      </c>
      <c r="H102" s="65"/>
      <c r="I102" s="65"/>
      <c r="J102" s="65"/>
      <c r="K102" s="65"/>
      <c r="L102" s="65"/>
      <c r="M102" s="65"/>
      <c r="N102" s="65"/>
      <c r="O102" s="65"/>
      <c r="P102" s="65"/>
      <c r="Q102" s="65"/>
      <c r="R102" s="65"/>
      <c r="S102" s="65"/>
      <c r="T102" s="65"/>
      <c r="U102" s="65"/>
      <c r="V102" s="65"/>
      <c r="W102" s="65"/>
      <c r="X102" s="65"/>
      <c r="Y102" s="65"/>
      <c r="Z102" s="65"/>
      <c r="AA102" s="73">
        <f>F102</f>
        <v>10</v>
      </c>
      <c r="AB102" s="65"/>
      <c r="AC102" s="65"/>
      <c r="AD102" s="65"/>
      <c r="AE102" s="65"/>
      <c r="AF102" s="65"/>
      <c r="AG102" s="65"/>
      <c r="AH102" s="65"/>
      <c r="AI102" s="65"/>
      <c r="AJ102" s="65"/>
      <c r="AK102" s="65"/>
    </row>
  </sheetData>
  <autoFilter ref="G1:G102" xr:uid="{57A91A48-58B0-462A-B2D1-87F9240A9F10}"/>
  <dataConsolidate/>
  <phoneticPr fontId="20" type="noConversion"/>
  <conditionalFormatting sqref="F7:G7 F10:F12 F102:G102 F37:G99">
    <cfRule type="cellIs" dxfId="286" priority="208" operator="equal">
      <formula>5</formula>
    </cfRule>
    <cfRule type="cellIs" dxfId="285" priority="209" operator="equal">
      <formula>4</formula>
    </cfRule>
    <cfRule type="cellIs" dxfId="284" priority="210" operator="equal">
      <formula>3</formula>
    </cfRule>
    <cfRule type="cellIs" dxfId="283" priority="211" operator="equal">
      <formula>2</formula>
    </cfRule>
    <cfRule type="cellIs" dxfId="282" priority="212" operator="equal">
      <formula>1</formula>
    </cfRule>
    <cfRule type="cellIs" dxfId="281" priority="213" operator="equal">
      <formula>0</formula>
    </cfRule>
  </conditionalFormatting>
  <conditionalFormatting sqref="F18:F34">
    <cfRule type="cellIs" dxfId="280" priority="160" operator="equal">
      <formula>5</formula>
    </cfRule>
    <cfRule type="cellIs" dxfId="279" priority="161" operator="equal">
      <formula>4</formula>
    </cfRule>
    <cfRule type="cellIs" dxfId="278" priority="162" operator="equal">
      <formula>3</formula>
    </cfRule>
    <cfRule type="cellIs" dxfId="277" priority="163" operator="equal">
      <formula>2</formula>
    </cfRule>
    <cfRule type="cellIs" dxfId="276" priority="164" operator="equal">
      <formula>1</formula>
    </cfRule>
    <cfRule type="cellIs" dxfId="275" priority="165" operator="equal">
      <formula>0</formula>
    </cfRule>
  </conditionalFormatting>
  <conditionalFormatting sqref="F36">
    <cfRule type="cellIs" dxfId="274" priority="142" operator="equal">
      <formula>5</formula>
    </cfRule>
    <cfRule type="cellIs" dxfId="273" priority="143" operator="equal">
      <formula>4</formula>
    </cfRule>
    <cfRule type="cellIs" dxfId="272" priority="144" operator="equal">
      <formula>3</formula>
    </cfRule>
    <cfRule type="cellIs" dxfId="271" priority="145" operator="equal">
      <formula>2</formula>
    </cfRule>
    <cfRule type="cellIs" dxfId="270" priority="146" operator="equal">
      <formula>1</formula>
    </cfRule>
    <cfRule type="cellIs" dxfId="269" priority="147" operator="equal">
      <formula>0</formula>
    </cfRule>
  </conditionalFormatting>
  <conditionalFormatting sqref="G13">
    <cfRule type="cellIs" dxfId="268" priority="136" operator="equal">
      <formula>5</formula>
    </cfRule>
    <cfRule type="cellIs" dxfId="267" priority="137" operator="equal">
      <formula>4</formula>
    </cfRule>
    <cfRule type="cellIs" dxfId="266" priority="138" operator="equal">
      <formula>3</formula>
    </cfRule>
    <cfRule type="cellIs" dxfId="265" priority="139" operator="equal">
      <formula>2</formula>
    </cfRule>
    <cfRule type="cellIs" dxfId="264" priority="140" operator="equal">
      <formula>1</formula>
    </cfRule>
    <cfRule type="cellIs" dxfId="263" priority="141" operator="equal">
      <formula>0</formula>
    </cfRule>
  </conditionalFormatting>
  <conditionalFormatting sqref="G14">
    <cfRule type="cellIs" dxfId="262" priority="130" operator="equal">
      <formula>5</formula>
    </cfRule>
    <cfRule type="cellIs" dxfId="261" priority="131" operator="equal">
      <formula>4</formula>
    </cfRule>
    <cfRule type="cellIs" dxfId="260" priority="132" operator="equal">
      <formula>3</formula>
    </cfRule>
    <cfRule type="cellIs" dxfId="259" priority="133" operator="equal">
      <formula>2</formula>
    </cfRule>
    <cfRule type="cellIs" dxfId="258" priority="134" operator="equal">
      <formula>1</formula>
    </cfRule>
    <cfRule type="cellIs" dxfId="257" priority="135" operator="equal">
      <formula>0</formula>
    </cfRule>
  </conditionalFormatting>
  <conditionalFormatting sqref="G15">
    <cfRule type="cellIs" dxfId="256" priority="124" operator="equal">
      <formula>5</formula>
    </cfRule>
    <cfRule type="cellIs" dxfId="255" priority="125" operator="equal">
      <formula>4</formula>
    </cfRule>
    <cfRule type="cellIs" dxfId="254" priority="126" operator="equal">
      <formula>3</formula>
    </cfRule>
    <cfRule type="cellIs" dxfId="253" priority="127" operator="equal">
      <formula>2</formula>
    </cfRule>
    <cfRule type="cellIs" dxfId="252" priority="128" operator="equal">
      <formula>1</formula>
    </cfRule>
    <cfRule type="cellIs" dxfId="251" priority="129" operator="equal">
      <formula>0</formula>
    </cfRule>
  </conditionalFormatting>
  <conditionalFormatting sqref="G23">
    <cfRule type="cellIs" dxfId="250" priority="112" operator="equal">
      <formula>5</formula>
    </cfRule>
    <cfRule type="cellIs" dxfId="249" priority="113" operator="equal">
      <formula>4</formula>
    </cfRule>
    <cfRule type="cellIs" dxfId="248" priority="114" operator="equal">
      <formula>3</formula>
    </cfRule>
    <cfRule type="cellIs" dxfId="247" priority="115" operator="equal">
      <formula>2</formula>
    </cfRule>
    <cfRule type="cellIs" dxfId="246" priority="116" operator="equal">
      <formula>1</formula>
    </cfRule>
    <cfRule type="cellIs" dxfId="245" priority="117" operator="equal">
      <formula>0</formula>
    </cfRule>
  </conditionalFormatting>
  <conditionalFormatting sqref="G24">
    <cfRule type="cellIs" dxfId="244" priority="106" operator="equal">
      <formula>5</formula>
    </cfRule>
    <cfRule type="cellIs" dxfId="243" priority="107" operator="equal">
      <formula>4</formula>
    </cfRule>
    <cfRule type="cellIs" dxfId="242" priority="108" operator="equal">
      <formula>3</formula>
    </cfRule>
    <cfRule type="cellIs" dxfId="241" priority="109" operator="equal">
      <formula>2</formula>
    </cfRule>
    <cfRule type="cellIs" dxfId="240" priority="110" operator="equal">
      <formula>1</formula>
    </cfRule>
    <cfRule type="cellIs" dxfId="239" priority="111" operator="equal">
      <formula>0</formula>
    </cfRule>
  </conditionalFormatting>
  <conditionalFormatting sqref="G25">
    <cfRule type="cellIs" dxfId="238" priority="100" operator="equal">
      <formula>5</formula>
    </cfRule>
    <cfRule type="cellIs" dxfId="237" priority="101" operator="equal">
      <formula>4</formula>
    </cfRule>
    <cfRule type="cellIs" dxfId="236" priority="102" operator="equal">
      <formula>3</formula>
    </cfRule>
    <cfRule type="cellIs" dxfId="235" priority="103" operator="equal">
      <formula>2</formula>
    </cfRule>
    <cfRule type="cellIs" dxfId="234" priority="104" operator="equal">
      <formula>1</formula>
    </cfRule>
    <cfRule type="cellIs" dxfId="233" priority="105" operator="equal">
      <formula>0</formula>
    </cfRule>
  </conditionalFormatting>
  <conditionalFormatting sqref="G26">
    <cfRule type="cellIs" dxfId="232" priority="94" operator="equal">
      <formula>5</formula>
    </cfRule>
    <cfRule type="cellIs" dxfId="231" priority="95" operator="equal">
      <formula>4</formula>
    </cfRule>
    <cfRule type="cellIs" dxfId="230" priority="96" operator="equal">
      <formula>3</formula>
    </cfRule>
    <cfRule type="cellIs" dxfId="229" priority="97" operator="equal">
      <formula>2</formula>
    </cfRule>
    <cfRule type="cellIs" dxfId="228" priority="98" operator="equal">
      <formula>1</formula>
    </cfRule>
    <cfRule type="cellIs" dxfId="227" priority="99" operator="equal">
      <formula>0</formula>
    </cfRule>
  </conditionalFormatting>
  <conditionalFormatting sqref="G27">
    <cfRule type="cellIs" dxfId="226" priority="88" operator="equal">
      <formula>5</formula>
    </cfRule>
    <cfRule type="cellIs" dxfId="225" priority="89" operator="equal">
      <formula>4</formula>
    </cfRule>
    <cfRule type="cellIs" dxfId="224" priority="90" operator="equal">
      <formula>3</formula>
    </cfRule>
    <cfRule type="cellIs" dxfId="223" priority="91" operator="equal">
      <formula>2</formula>
    </cfRule>
    <cfRule type="cellIs" dxfId="222" priority="92" operator="equal">
      <formula>1</formula>
    </cfRule>
    <cfRule type="cellIs" dxfId="221" priority="93" operator="equal">
      <formula>0</formula>
    </cfRule>
  </conditionalFormatting>
  <conditionalFormatting sqref="G28">
    <cfRule type="cellIs" dxfId="220" priority="82" operator="equal">
      <formula>5</formula>
    </cfRule>
    <cfRule type="cellIs" dxfId="219" priority="83" operator="equal">
      <formula>4</formula>
    </cfRule>
    <cfRule type="cellIs" dxfId="218" priority="84" operator="equal">
      <formula>3</formula>
    </cfRule>
    <cfRule type="cellIs" dxfId="217" priority="85" operator="equal">
      <formula>2</formula>
    </cfRule>
    <cfRule type="cellIs" dxfId="216" priority="86" operator="equal">
      <formula>1</formula>
    </cfRule>
    <cfRule type="cellIs" dxfId="215" priority="87" operator="equal">
      <formula>0</formula>
    </cfRule>
  </conditionalFormatting>
  <conditionalFormatting sqref="G29">
    <cfRule type="cellIs" dxfId="214" priority="76" operator="equal">
      <formula>5</formula>
    </cfRule>
    <cfRule type="cellIs" dxfId="213" priority="77" operator="equal">
      <formula>4</formula>
    </cfRule>
    <cfRule type="cellIs" dxfId="212" priority="78" operator="equal">
      <formula>3</formula>
    </cfRule>
    <cfRule type="cellIs" dxfId="211" priority="79" operator="equal">
      <formula>2</formula>
    </cfRule>
    <cfRule type="cellIs" dxfId="210" priority="80" operator="equal">
      <formula>1</formula>
    </cfRule>
    <cfRule type="cellIs" dxfId="209" priority="81" operator="equal">
      <formula>0</formula>
    </cfRule>
  </conditionalFormatting>
  <conditionalFormatting sqref="F49">
    <cfRule type="cellIs" dxfId="208" priority="69" operator="equal">
      <formula>30</formula>
    </cfRule>
  </conditionalFormatting>
  <conditionalFormatting sqref="F49">
    <cfRule type="cellIs" dxfId="207" priority="68" operator="equal">
      <formula>20</formula>
    </cfRule>
  </conditionalFormatting>
  <conditionalFormatting sqref="F49">
    <cfRule type="cellIs" dxfId="206" priority="67" operator="equal">
      <formula>10</formula>
    </cfRule>
  </conditionalFormatting>
  <conditionalFormatting sqref="F69">
    <cfRule type="cellIs" dxfId="205" priority="66" operator="equal">
      <formula>30</formula>
    </cfRule>
  </conditionalFormatting>
  <conditionalFormatting sqref="F69">
    <cfRule type="cellIs" dxfId="204" priority="65" operator="equal">
      <formula>20</formula>
    </cfRule>
  </conditionalFormatting>
  <conditionalFormatting sqref="F69">
    <cfRule type="cellIs" dxfId="203" priority="64" operator="equal">
      <formula>10</formula>
    </cfRule>
  </conditionalFormatting>
  <conditionalFormatting sqref="F78">
    <cfRule type="cellIs" dxfId="202" priority="63" operator="equal">
      <formula>30</formula>
    </cfRule>
  </conditionalFormatting>
  <conditionalFormatting sqref="F78">
    <cfRule type="cellIs" dxfId="201" priority="62" operator="equal">
      <formula>20</formula>
    </cfRule>
  </conditionalFormatting>
  <conditionalFormatting sqref="F78">
    <cfRule type="cellIs" dxfId="200" priority="61" operator="equal">
      <formula>10</formula>
    </cfRule>
  </conditionalFormatting>
  <conditionalFormatting sqref="F81">
    <cfRule type="cellIs" dxfId="199" priority="60" operator="equal">
      <formula>30</formula>
    </cfRule>
  </conditionalFormatting>
  <conditionalFormatting sqref="F81">
    <cfRule type="cellIs" dxfId="198" priority="59" operator="equal">
      <formula>20</formula>
    </cfRule>
  </conditionalFormatting>
  <conditionalFormatting sqref="F81">
    <cfRule type="cellIs" dxfId="197" priority="58" operator="equal">
      <formula>10</formula>
    </cfRule>
  </conditionalFormatting>
  <conditionalFormatting sqref="F88">
    <cfRule type="cellIs" dxfId="196" priority="57" operator="equal">
      <formula>30</formula>
    </cfRule>
  </conditionalFormatting>
  <conditionalFormatting sqref="F88">
    <cfRule type="cellIs" dxfId="195" priority="56" operator="equal">
      <formula>20</formula>
    </cfRule>
  </conditionalFormatting>
  <conditionalFormatting sqref="F88">
    <cfRule type="cellIs" dxfId="194" priority="55" operator="equal">
      <formula>10</formula>
    </cfRule>
  </conditionalFormatting>
  <conditionalFormatting sqref="F96">
    <cfRule type="cellIs" dxfId="193" priority="54" operator="equal">
      <formula>30</formula>
    </cfRule>
  </conditionalFormatting>
  <conditionalFormatting sqref="F96">
    <cfRule type="cellIs" dxfId="192" priority="53" operator="equal">
      <formula>20</formula>
    </cfRule>
  </conditionalFormatting>
  <conditionalFormatting sqref="F96">
    <cfRule type="cellIs" dxfId="191" priority="52" operator="equal">
      <formula>10</formula>
    </cfRule>
  </conditionalFormatting>
  <conditionalFormatting sqref="F102">
    <cfRule type="cellIs" dxfId="190" priority="45" operator="equal">
      <formula>30</formula>
    </cfRule>
  </conditionalFormatting>
  <conditionalFormatting sqref="F102">
    <cfRule type="cellIs" dxfId="189" priority="44" operator="equal">
      <formula>20</formula>
    </cfRule>
  </conditionalFormatting>
  <conditionalFormatting sqref="F102">
    <cfRule type="cellIs" dxfId="188" priority="43" operator="equal">
      <formula>10</formula>
    </cfRule>
  </conditionalFormatting>
  <conditionalFormatting sqref="F100">
    <cfRule type="cellIs" dxfId="187" priority="25" operator="equal">
      <formula>5</formula>
    </cfRule>
    <cfRule type="cellIs" dxfId="186" priority="26" operator="equal">
      <formula>4</formula>
    </cfRule>
    <cfRule type="cellIs" dxfId="185" priority="27" operator="equal">
      <formula>3</formula>
    </cfRule>
    <cfRule type="cellIs" dxfId="184" priority="28" operator="equal">
      <formula>2</formula>
    </cfRule>
    <cfRule type="cellIs" dxfId="183" priority="29" operator="equal">
      <formula>1</formula>
    </cfRule>
    <cfRule type="cellIs" dxfId="182" priority="30" operator="equal">
      <formula>0</formula>
    </cfRule>
  </conditionalFormatting>
  <conditionalFormatting sqref="G100">
    <cfRule type="cellIs" dxfId="181" priority="19" operator="equal">
      <formula>5</formula>
    </cfRule>
    <cfRule type="cellIs" dxfId="180" priority="20" operator="equal">
      <formula>4</formula>
    </cfRule>
    <cfRule type="cellIs" dxfId="179" priority="21" operator="equal">
      <formula>3</formula>
    </cfRule>
    <cfRule type="cellIs" dxfId="178" priority="22" operator="equal">
      <formula>2</formula>
    </cfRule>
    <cfRule type="cellIs" dxfId="177" priority="23" operator="equal">
      <formula>1</formula>
    </cfRule>
    <cfRule type="cellIs" dxfId="176" priority="24" operator="equal">
      <formula>0</formula>
    </cfRule>
  </conditionalFormatting>
  <conditionalFormatting sqref="F101">
    <cfRule type="cellIs" dxfId="175" priority="13" operator="equal">
      <formula>5</formula>
    </cfRule>
    <cfRule type="cellIs" dxfId="174" priority="14" operator="equal">
      <formula>4</formula>
    </cfRule>
    <cfRule type="cellIs" dxfId="173" priority="15" operator="equal">
      <formula>3</formula>
    </cfRule>
    <cfRule type="cellIs" dxfId="172" priority="16" operator="equal">
      <formula>2</formula>
    </cfRule>
    <cfRule type="cellIs" dxfId="171" priority="17" operator="equal">
      <formula>1</formula>
    </cfRule>
    <cfRule type="cellIs" dxfId="170" priority="18" operator="equal">
      <formula>0</formula>
    </cfRule>
  </conditionalFormatting>
  <conditionalFormatting sqref="G101">
    <cfRule type="cellIs" dxfId="169" priority="7" operator="equal">
      <formula>5</formula>
    </cfRule>
    <cfRule type="cellIs" dxfId="168" priority="8" operator="equal">
      <formula>4</formula>
    </cfRule>
    <cfRule type="cellIs" dxfId="167" priority="9" operator="equal">
      <formula>3</formula>
    </cfRule>
    <cfRule type="cellIs" dxfId="166" priority="10" operator="equal">
      <formula>2</formula>
    </cfRule>
    <cfRule type="cellIs" dxfId="165" priority="11" operator="equal">
      <formula>1</formula>
    </cfRule>
    <cfRule type="cellIs" dxfId="164" priority="12" operator="equal">
      <formula>0</formula>
    </cfRule>
  </conditionalFormatting>
  <conditionalFormatting sqref="G36">
    <cfRule type="cellIs" dxfId="163" priority="1" operator="equal">
      <formula>5</formula>
    </cfRule>
    <cfRule type="cellIs" dxfId="162" priority="2" operator="equal">
      <formula>4</formula>
    </cfRule>
    <cfRule type="cellIs" dxfId="161" priority="3" operator="equal">
      <formula>3</formula>
    </cfRule>
    <cfRule type="cellIs" dxfId="160" priority="4" operator="equal">
      <formula>2</formula>
    </cfRule>
    <cfRule type="cellIs" dxfId="159" priority="5" operator="equal">
      <formula>1</formula>
    </cfRule>
    <cfRule type="cellIs" dxfId="158" priority="6" operator="equal">
      <formula>0</formula>
    </cfRule>
  </conditionalFormatting>
  <pageMargins left="0.7" right="0.7" top="0.75" bottom="0.75" header="0.3" footer="0.3"/>
  <pageSetup paperSize="9"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cellIs" priority="555" operator="equal" id="{29BC1988-EC67-4367-B15E-7A99BD9D9D4D}">
            <xm:f>Listas!$D$6</xm:f>
            <x14:dxf>
              <font>
                <b/>
                <i val="0"/>
                <color theme="0"/>
              </font>
              <fill>
                <patternFill>
                  <bgColor rgb="FFC6007E"/>
                </patternFill>
              </fill>
            </x14:dxf>
          </x14:cfRule>
          <x14:cfRule type="cellIs" priority="557" operator="equal" id="{A36C1827-F7CE-4DFD-A4AB-82634C8F1F2E}">
            <xm:f>Listas!$D$5</xm:f>
            <x14:dxf>
              <font>
                <color theme="0"/>
              </font>
              <fill>
                <patternFill>
                  <bgColor rgb="FFFFC000"/>
                </patternFill>
              </fill>
            </x14:dxf>
          </x14:cfRule>
          <x14:cfRule type="cellIs" priority="557" operator="equal" id="{CB02BAB1-8F52-4EC3-B351-81B647801408}">
            <xm:f>Listas!$D$4</xm:f>
            <x14:dxf>
              <font>
                <color theme="0"/>
              </font>
              <fill>
                <patternFill>
                  <bgColor rgb="FF00B050"/>
                </patternFill>
              </fill>
            </x14:dxf>
          </x14:cfRule>
          <xm:sqref>S18:S35 AC18:AC35 X18:X35 I18:I35 N18:N35</xm:sqref>
        </x14:conditionalFormatting>
        <x14:conditionalFormatting xmlns:xm="http://schemas.microsoft.com/office/excel/2006/main">
          <x14:cfRule type="cellIs" priority="519" operator="equal" id="{18662FA4-19FF-429D-94F3-09E369C9BFF1}">
            <xm:f>Listas!$F$6</xm:f>
            <x14:dxf>
              <font>
                <b/>
                <i val="0"/>
                <color theme="0"/>
              </font>
              <fill>
                <patternFill>
                  <bgColor rgb="FFC6007E"/>
                </patternFill>
              </fill>
            </x14:dxf>
          </x14:cfRule>
          <x14:cfRule type="cellIs" priority="520" operator="equal" id="{63670697-92E6-4E6C-9ED5-18661A8F907B}">
            <xm:f>Listas!$F$5</xm:f>
            <x14:dxf>
              <font>
                <b/>
                <i val="0"/>
                <color theme="0"/>
              </font>
              <fill>
                <patternFill>
                  <bgColor rgb="FFFFC000"/>
                </patternFill>
              </fill>
            </x14:dxf>
          </x14:cfRule>
          <x14:cfRule type="cellIs" priority="521" operator="equal" id="{1EFA8B7B-DD78-4823-88BA-B0FC16545325}">
            <xm:f>Listas!$F$4</xm:f>
            <x14:dxf>
              <font>
                <b/>
                <i val="0"/>
                <color theme="0"/>
              </font>
              <fill>
                <patternFill>
                  <bgColor rgb="FF00B050"/>
                </patternFill>
              </fill>
            </x14:dxf>
          </x14:cfRule>
          <xm:sqref>O12:Q35 T12:V35 Y12:AA35 AD12:AF35</xm:sqref>
        </x14:conditionalFormatting>
        <x14:conditionalFormatting xmlns:xm="http://schemas.microsoft.com/office/excel/2006/main">
          <x14:cfRule type="cellIs" priority="483" operator="equal" id="{8310BA64-AF68-4D47-A2F0-FC53C352F601}">
            <xm:f>Listas!$B$6</xm:f>
            <x14:dxf>
              <font>
                <b/>
                <i val="0"/>
                <color theme="0"/>
              </font>
              <fill>
                <patternFill>
                  <bgColor rgb="FFC6007E"/>
                </patternFill>
              </fill>
            </x14:dxf>
          </x14:cfRule>
          <x14:cfRule type="cellIs" priority="484" operator="equal" id="{2519758A-2719-43D7-BD6F-3A2A4462E70E}">
            <xm:f>Listas!$B$5</xm:f>
            <x14:dxf>
              <font>
                <b/>
                <i val="0"/>
                <color theme="0"/>
              </font>
              <fill>
                <patternFill>
                  <bgColor rgb="FFFFC000"/>
                </patternFill>
              </fill>
            </x14:dxf>
          </x14:cfRule>
          <x14:cfRule type="cellIs" priority="485" operator="equal" id="{B74FB12E-FA4E-439D-A1F2-3C116761ED21}">
            <xm:f>Listas!$B$4</xm:f>
            <x14:dxf>
              <font>
                <b/>
                <i val="0"/>
                <color theme="0"/>
              </font>
              <fill>
                <patternFill>
                  <bgColor rgb="FF00B050"/>
                </patternFill>
              </fill>
            </x14:dxf>
          </x14:cfRule>
          <xm:sqref>M12 W12 R18:R35 AB18:AB35 W18:W35 H19:H35 M18:M35</xm:sqref>
        </x14:conditionalFormatting>
        <x14:conditionalFormatting xmlns:xm="http://schemas.microsoft.com/office/excel/2006/main">
          <x14:cfRule type="cellIs" priority="390" operator="equal" id="{847AE0E5-4354-4C01-BFFA-7053141240C1}">
            <xm:f>Listas!$B$6</xm:f>
            <x14:dxf>
              <font>
                <b/>
                <i val="0"/>
                <color theme="0"/>
              </font>
              <fill>
                <patternFill>
                  <bgColor rgb="FFC6007E"/>
                </patternFill>
              </fill>
            </x14:dxf>
          </x14:cfRule>
          <x14:cfRule type="cellIs" priority="391" operator="equal" id="{75ED8868-15C5-453F-A36D-A29109D400F3}">
            <xm:f>Listas!$B$5</xm:f>
            <x14:dxf>
              <font>
                <b/>
                <i val="0"/>
                <color theme="0"/>
              </font>
              <fill>
                <patternFill>
                  <bgColor rgb="FFFFC000"/>
                </patternFill>
              </fill>
            </x14:dxf>
          </x14:cfRule>
          <x14:cfRule type="cellIs" priority="392" operator="equal" id="{0CB7810E-EE19-4567-A33F-2E9347AD1B5B}">
            <xm:f>Listas!$B$4</xm:f>
            <x14:dxf>
              <font>
                <b/>
                <i val="0"/>
                <color theme="0"/>
              </font>
              <fill>
                <patternFill>
                  <bgColor rgb="FF00B050"/>
                </patternFill>
              </fill>
            </x14:dxf>
          </x14:cfRule>
          <xm:sqref>I12:I14</xm:sqref>
        </x14:conditionalFormatting>
        <x14:conditionalFormatting xmlns:xm="http://schemas.microsoft.com/office/excel/2006/main">
          <x14:cfRule type="cellIs" priority="387" operator="equal" id="{32E4F0F8-DC1E-4722-A1C6-C875C95268E9}">
            <xm:f>Listas!$B$6</xm:f>
            <x14:dxf>
              <font>
                <b/>
                <i val="0"/>
                <color theme="0"/>
              </font>
              <fill>
                <patternFill>
                  <bgColor rgb="FFC6007E"/>
                </patternFill>
              </fill>
            </x14:dxf>
          </x14:cfRule>
          <x14:cfRule type="cellIs" priority="388" operator="equal" id="{5ADCF45D-7319-4903-BC3A-859E7D13665A}">
            <xm:f>Listas!$B$5</xm:f>
            <x14:dxf>
              <font>
                <b/>
                <i val="0"/>
                <color theme="0"/>
              </font>
              <fill>
                <patternFill>
                  <bgColor rgb="FFFFC000"/>
                </patternFill>
              </fill>
            </x14:dxf>
          </x14:cfRule>
          <x14:cfRule type="cellIs" priority="389" operator="equal" id="{47CC41D2-E5BB-4778-B659-9A7A2AA0CC81}">
            <xm:f>Listas!$B$4</xm:f>
            <x14:dxf>
              <font>
                <b/>
                <i val="0"/>
                <color theme="0"/>
              </font>
              <fill>
                <patternFill>
                  <bgColor rgb="FF00B050"/>
                </patternFill>
              </fill>
            </x14:dxf>
          </x14:cfRule>
          <xm:sqref>R12</xm:sqref>
        </x14:conditionalFormatting>
        <x14:conditionalFormatting xmlns:xm="http://schemas.microsoft.com/office/excel/2006/main">
          <x14:cfRule type="cellIs" priority="381" operator="equal" id="{CB0EC90B-0B98-4FAF-A3D5-5AC1AF80885B}">
            <xm:f>Listas!$B$6</xm:f>
            <x14:dxf>
              <font>
                <b/>
                <i val="0"/>
                <color theme="0"/>
              </font>
              <fill>
                <patternFill>
                  <bgColor rgb="FFC6007E"/>
                </patternFill>
              </fill>
            </x14:dxf>
          </x14:cfRule>
          <x14:cfRule type="cellIs" priority="382" operator="equal" id="{F2E83AB1-7465-42B6-B6C5-0AC7E670EFAD}">
            <xm:f>Listas!$B$5</xm:f>
            <x14:dxf>
              <font>
                <b/>
                <i val="0"/>
                <color theme="0"/>
              </font>
              <fill>
                <patternFill>
                  <bgColor rgb="FFFFC000"/>
                </patternFill>
              </fill>
            </x14:dxf>
          </x14:cfRule>
          <x14:cfRule type="cellIs" priority="383" operator="equal" id="{157DCB45-223C-4A3F-9DBD-BAEFA729355D}">
            <xm:f>Listas!$B$4</xm:f>
            <x14:dxf>
              <font>
                <b/>
                <i val="0"/>
                <color theme="0"/>
              </font>
              <fill>
                <patternFill>
                  <bgColor rgb="FF00B050"/>
                </patternFill>
              </fill>
            </x14:dxf>
          </x14:cfRule>
          <xm:sqref>AB12</xm:sqref>
        </x14:conditionalFormatting>
        <x14:conditionalFormatting xmlns:xm="http://schemas.microsoft.com/office/excel/2006/main">
          <x14:cfRule type="cellIs" priority="369" operator="equal" id="{166B6763-0A14-43EA-A949-A36DCE37403F}">
            <xm:f>Listas!$B$6</xm:f>
            <x14:dxf>
              <font>
                <b/>
                <i val="0"/>
                <color theme="0"/>
              </font>
              <fill>
                <patternFill>
                  <bgColor rgb="FFC6007E"/>
                </patternFill>
              </fill>
            </x14:dxf>
          </x14:cfRule>
          <x14:cfRule type="cellIs" priority="370" operator="equal" id="{48D6126B-0530-498D-8C66-7F875E35AFAF}">
            <xm:f>Listas!$B$5</xm:f>
            <x14:dxf>
              <font>
                <b/>
                <i val="0"/>
                <color theme="0"/>
              </font>
              <fill>
                <patternFill>
                  <bgColor rgb="FFFFC000"/>
                </patternFill>
              </fill>
            </x14:dxf>
          </x14:cfRule>
          <x14:cfRule type="cellIs" priority="371" operator="equal" id="{FE06B3BC-29BB-4BFA-9B6E-3C0A42C7859F}">
            <xm:f>Listas!$B$4</xm:f>
            <x14:dxf>
              <font>
                <b/>
                <i val="0"/>
                <color theme="0"/>
              </font>
              <fill>
                <patternFill>
                  <bgColor rgb="FF00B050"/>
                </patternFill>
              </fill>
            </x14:dxf>
          </x14:cfRule>
          <xm:sqref>N13:N17</xm:sqref>
        </x14:conditionalFormatting>
        <x14:conditionalFormatting xmlns:xm="http://schemas.microsoft.com/office/excel/2006/main">
          <x14:cfRule type="cellIs" priority="366" operator="equal" id="{614576C2-7931-4CC9-A521-142E175522AE}">
            <xm:f>Listas!$B$6</xm:f>
            <x14:dxf>
              <font>
                <b/>
                <i val="0"/>
                <color theme="0"/>
              </font>
              <fill>
                <patternFill>
                  <bgColor rgb="FFC6007E"/>
                </patternFill>
              </fill>
            </x14:dxf>
          </x14:cfRule>
          <x14:cfRule type="cellIs" priority="367" operator="equal" id="{7EA8156B-8848-4683-A2DC-A577C90546A2}">
            <xm:f>Listas!$B$5</xm:f>
            <x14:dxf>
              <font>
                <b/>
                <i val="0"/>
                <color theme="0"/>
              </font>
              <fill>
                <patternFill>
                  <bgColor rgb="FFFFC000"/>
                </patternFill>
              </fill>
            </x14:dxf>
          </x14:cfRule>
          <x14:cfRule type="cellIs" priority="368" operator="equal" id="{088F5EC9-7C8C-4228-9F34-3AB2F5A1283D}">
            <xm:f>Listas!$B$4</xm:f>
            <x14:dxf>
              <font>
                <b/>
                <i val="0"/>
                <color theme="0"/>
              </font>
              <fill>
                <patternFill>
                  <bgColor rgb="FF00B050"/>
                </patternFill>
              </fill>
            </x14:dxf>
          </x14:cfRule>
          <xm:sqref>S13:S17</xm:sqref>
        </x14:conditionalFormatting>
        <x14:conditionalFormatting xmlns:xm="http://schemas.microsoft.com/office/excel/2006/main">
          <x14:cfRule type="cellIs" priority="363" operator="equal" id="{17E50C93-7179-4877-A57D-61F50273A04E}">
            <xm:f>Listas!$B$6</xm:f>
            <x14:dxf>
              <font>
                <b/>
                <i val="0"/>
                <color theme="0"/>
              </font>
              <fill>
                <patternFill>
                  <bgColor rgb="FFC6007E"/>
                </patternFill>
              </fill>
            </x14:dxf>
          </x14:cfRule>
          <x14:cfRule type="cellIs" priority="364" operator="equal" id="{1B10F605-06FB-4D4D-BDDB-C332C54A539A}">
            <xm:f>Listas!$B$5</xm:f>
            <x14:dxf>
              <font>
                <b/>
                <i val="0"/>
                <color theme="0"/>
              </font>
              <fill>
                <patternFill>
                  <bgColor rgb="FFFFC000"/>
                </patternFill>
              </fill>
            </x14:dxf>
          </x14:cfRule>
          <x14:cfRule type="cellIs" priority="365" operator="equal" id="{ED11FF06-D13B-4DCD-AB0E-67C06DD2F139}">
            <xm:f>Listas!$B$4</xm:f>
            <x14:dxf>
              <font>
                <b/>
                <i val="0"/>
                <color theme="0"/>
              </font>
              <fill>
                <patternFill>
                  <bgColor rgb="FF00B050"/>
                </patternFill>
              </fill>
            </x14:dxf>
          </x14:cfRule>
          <xm:sqref>X13:X15</xm:sqref>
        </x14:conditionalFormatting>
        <x14:conditionalFormatting xmlns:xm="http://schemas.microsoft.com/office/excel/2006/main">
          <x14:cfRule type="cellIs" priority="360" operator="equal" id="{17F71C71-4389-4043-A126-284FFE203A6B}">
            <xm:f>Listas!$B$6</xm:f>
            <x14:dxf>
              <font>
                <b/>
                <i val="0"/>
                <color theme="0"/>
              </font>
              <fill>
                <patternFill>
                  <bgColor rgb="FFC6007E"/>
                </patternFill>
              </fill>
            </x14:dxf>
          </x14:cfRule>
          <x14:cfRule type="cellIs" priority="361" operator="equal" id="{50432E46-D4E3-4D75-A758-3CD17879FC2C}">
            <xm:f>Listas!$B$5</xm:f>
            <x14:dxf>
              <font>
                <b/>
                <i val="0"/>
                <color theme="0"/>
              </font>
              <fill>
                <patternFill>
                  <bgColor rgb="FFFFC000"/>
                </patternFill>
              </fill>
            </x14:dxf>
          </x14:cfRule>
          <x14:cfRule type="cellIs" priority="362" operator="equal" id="{B99406DD-FF3A-4D0B-BF39-E6CF8046EE85}">
            <xm:f>Listas!$B$4</xm:f>
            <x14:dxf>
              <font>
                <b/>
                <i val="0"/>
                <color theme="0"/>
              </font>
              <fill>
                <patternFill>
                  <bgColor rgb="FF00B050"/>
                </patternFill>
              </fill>
            </x14:dxf>
          </x14:cfRule>
          <xm:sqref>AC13:AC14</xm:sqref>
        </x14:conditionalFormatting>
        <x14:conditionalFormatting xmlns:xm="http://schemas.microsoft.com/office/excel/2006/main">
          <x14:cfRule type="cellIs" priority="354" operator="equal" id="{65C77C20-6161-48A8-B2EB-E329CF3D143C}">
            <xm:f>Listas!$B$6</xm:f>
            <x14:dxf>
              <font>
                <b/>
                <i val="0"/>
                <color theme="0"/>
              </font>
              <fill>
                <patternFill>
                  <bgColor rgb="FFC6007E"/>
                </patternFill>
              </fill>
            </x14:dxf>
          </x14:cfRule>
          <x14:cfRule type="cellIs" priority="355" operator="equal" id="{74C30579-D9B6-4284-B9FF-2FBF7F0F5AC5}">
            <xm:f>Listas!$B$5</xm:f>
            <x14:dxf>
              <font>
                <b/>
                <i val="0"/>
                <color theme="0"/>
              </font>
              <fill>
                <patternFill>
                  <bgColor rgb="FFFFC000"/>
                </patternFill>
              </fill>
            </x14:dxf>
          </x14:cfRule>
          <x14:cfRule type="cellIs" priority="356" operator="equal" id="{CDA93251-C6EE-48E4-AC00-CC7F7C4948DB}">
            <xm:f>Listas!$B$4</xm:f>
            <x14:dxf>
              <font>
                <b/>
                <i val="0"/>
                <color theme="0"/>
              </font>
              <fill>
                <patternFill>
                  <bgColor rgb="FF00B050"/>
                </patternFill>
              </fill>
            </x14:dxf>
          </x14:cfRule>
          <xm:sqref>H13</xm:sqref>
        </x14:conditionalFormatting>
        <x14:conditionalFormatting xmlns:xm="http://schemas.microsoft.com/office/excel/2006/main">
          <x14:cfRule type="cellIs" priority="351" operator="equal" id="{36AB2C26-855A-47DA-B463-0DAE3967477E}">
            <xm:f>Listas!$B$6</xm:f>
            <x14:dxf>
              <font>
                <b/>
                <i val="0"/>
                <color theme="0"/>
              </font>
              <fill>
                <patternFill>
                  <bgColor rgb="FFC6007E"/>
                </patternFill>
              </fill>
            </x14:dxf>
          </x14:cfRule>
          <x14:cfRule type="cellIs" priority="352" operator="equal" id="{38FC7AD9-56D3-4169-981D-D4A7591A219E}">
            <xm:f>Listas!$B$5</xm:f>
            <x14:dxf>
              <font>
                <b/>
                <i val="0"/>
                <color theme="0"/>
              </font>
              <fill>
                <patternFill>
                  <bgColor rgb="FFFFC000"/>
                </patternFill>
              </fill>
            </x14:dxf>
          </x14:cfRule>
          <x14:cfRule type="cellIs" priority="353" operator="equal" id="{35A2275E-7903-40C1-B78E-CADE4A7233F7}">
            <xm:f>Listas!$B$4</xm:f>
            <x14:dxf>
              <font>
                <b/>
                <i val="0"/>
                <color theme="0"/>
              </font>
              <fill>
                <patternFill>
                  <bgColor rgb="FF00B050"/>
                </patternFill>
              </fill>
            </x14:dxf>
          </x14:cfRule>
          <xm:sqref>M13</xm:sqref>
        </x14:conditionalFormatting>
        <x14:conditionalFormatting xmlns:xm="http://schemas.microsoft.com/office/excel/2006/main">
          <x14:cfRule type="cellIs" priority="348" operator="equal" id="{5AC39CFE-4662-4DE2-8C5C-36729450670A}">
            <xm:f>Listas!$B$6</xm:f>
            <x14:dxf>
              <font>
                <b/>
                <i val="0"/>
                <color theme="0"/>
              </font>
              <fill>
                <patternFill>
                  <bgColor rgb="FFC6007E"/>
                </patternFill>
              </fill>
            </x14:dxf>
          </x14:cfRule>
          <x14:cfRule type="cellIs" priority="349" operator="equal" id="{495F93E5-7179-4987-846E-E92ABCE56282}">
            <xm:f>Listas!$B$5</xm:f>
            <x14:dxf>
              <font>
                <b/>
                <i val="0"/>
                <color theme="0"/>
              </font>
              <fill>
                <patternFill>
                  <bgColor rgb="FFFFC000"/>
                </patternFill>
              </fill>
            </x14:dxf>
          </x14:cfRule>
          <x14:cfRule type="cellIs" priority="350" operator="equal" id="{B4BF1A11-32CE-4E1D-B88C-57E36437B66B}">
            <xm:f>Listas!$B$4</xm:f>
            <x14:dxf>
              <font>
                <b/>
                <i val="0"/>
                <color theme="0"/>
              </font>
              <fill>
                <patternFill>
                  <bgColor rgb="FF00B050"/>
                </patternFill>
              </fill>
            </x14:dxf>
          </x14:cfRule>
          <xm:sqref>R13</xm:sqref>
        </x14:conditionalFormatting>
        <x14:conditionalFormatting xmlns:xm="http://schemas.microsoft.com/office/excel/2006/main">
          <x14:cfRule type="cellIs" priority="345" operator="equal" id="{7E593CAF-68C2-4B8D-9256-CE8463CF99F7}">
            <xm:f>Listas!$B$6</xm:f>
            <x14:dxf>
              <font>
                <b/>
                <i val="0"/>
                <color theme="0"/>
              </font>
              <fill>
                <patternFill>
                  <bgColor rgb="FFC6007E"/>
                </patternFill>
              </fill>
            </x14:dxf>
          </x14:cfRule>
          <x14:cfRule type="cellIs" priority="346" operator="equal" id="{48BA21BD-B1FF-4D4E-879B-B10C79CF17AF}">
            <xm:f>Listas!$B$5</xm:f>
            <x14:dxf>
              <font>
                <b/>
                <i val="0"/>
                <color theme="0"/>
              </font>
              <fill>
                <patternFill>
                  <bgColor rgb="FFFFC000"/>
                </patternFill>
              </fill>
            </x14:dxf>
          </x14:cfRule>
          <x14:cfRule type="cellIs" priority="347" operator="equal" id="{1602B02A-A595-4E4F-95AE-F2E42168181C}">
            <xm:f>Listas!$B$4</xm:f>
            <x14:dxf>
              <font>
                <b/>
                <i val="0"/>
                <color theme="0"/>
              </font>
              <fill>
                <patternFill>
                  <bgColor rgb="FF00B050"/>
                </patternFill>
              </fill>
            </x14:dxf>
          </x14:cfRule>
          <xm:sqref>W13</xm:sqref>
        </x14:conditionalFormatting>
        <x14:conditionalFormatting xmlns:xm="http://schemas.microsoft.com/office/excel/2006/main">
          <x14:cfRule type="cellIs" priority="342" operator="equal" id="{55399E27-0FC7-4FFE-8655-305985524823}">
            <xm:f>Listas!$B$6</xm:f>
            <x14:dxf>
              <font>
                <b/>
                <i val="0"/>
                <color theme="0"/>
              </font>
              <fill>
                <patternFill>
                  <bgColor rgb="FFC6007E"/>
                </patternFill>
              </fill>
            </x14:dxf>
          </x14:cfRule>
          <x14:cfRule type="cellIs" priority="343" operator="equal" id="{182DD4E6-9706-40D7-A453-DB9FF4332FFF}">
            <xm:f>Listas!$B$5</xm:f>
            <x14:dxf>
              <font>
                <b/>
                <i val="0"/>
                <color theme="0"/>
              </font>
              <fill>
                <patternFill>
                  <bgColor rgb="FFFFC000"/>
                </patternFill>
              </fill>
            </x14:dxf>
          </x14:cfRule>
          <x14:cfRule type="cellIs" priority="344" operator="equal" id="{6B4C7F3A-C78D-4794-9FFB-C6061A54A325}">
            <xm:f>Listas!$B$4</xm:f>
            <x14:dxf>
              <font>
                <b/>
                <i val="0"/>
                <color theme="0"/>
              </font>
              <fill>
                <patternFill>
                  <bgColor rgb="FF00B050"/>
                </patternFill>
              </fill>
            </x14:dxf>
          </x14:cfRule>
          <xm:sqref>AB13</xm:sqref>
        </x14:conditionalFormatting>
        <x14:conditionalFormatting xmlns:xm="http://schemas.microsoft.com/office/excel/2006/main">
          <x14:cfRule type="cellIs" priority="336" operator="equal" id="{040899DA-B460-4331-B439-47913E3A0FF4}">
            <xm:f>Listas!$B$6</xm:f>
            <x14:dxf>
              <font>
                <b/>
                <i val="0"/>
                <color theme="0"/>
              </font>
              <fill>
                <patternFill>
                  <bgColor rgb="FFC6007E"/>
                </patternFill>
              </fill>
            </x14:dxf>
          </x14:cfRule>
          <x14:cfRule type="cellIs" priority="337" operator="equal" id="{70CD2DD0-11D4-4AF5-A140-7676E8FA22E0}">
            <xm:f>Listas!$B$5</xm:f>
            <x14:dxf>
              <font>
                <b/>
                <i val="0"/>
                <color theme="0"/>
              </font>
              <fill>
                <patternFill>
                  <bgColor rgb="FFFFC000"/>
                </patternFill>
              </fill>
            </x14:dxf>
          </x14:cfRule>
          <x14:cfRule type="cellIs" priority="338" operator="equal" id="{98B9BBE3-C31B-4DF0-A3A1-D129DABD3415}">
            <xm:f>Listas!$B$4</xm:f>
            <x14:dxf>
              <font>
                <b/>
                <i val="0"/>
                <color theme="0"/>
              </font>
              <fill>
                <patternFill>
                  <bgColor rgb="FF00B050"/>
                </patternFill>
              </fill>
            </x14:dxf>
          </x14:cfRule>
          <xm:sqref>H18</xm:sqref>
        </x14:conditionalFormatting>
        <x14:conditionalFormatting xmlns:xm="http://schemas.microsoft.com/office/excel/2006/main">
          <x14:cfRule type="cellIs" priority="333" operator="equal" id="{BD026387-7A5C-4F43-9FFD-E1C99E8CC956}">
            <xm:f>Listas!$B$6</xm:f>
            <x14:dxf>
              <font>
                <b/>
                <i val="0"/>
                <color theme="0"/>
              </font>
              <fill>
                <patternFill>
                  <bgColor rgb="FFC6007E"/>
                </patternFill>
              </fill>
            </x14:dxf>
          </x14:cfRule>
          <x14:cfRule type="cellIs" priority="334" operator="equal" id="{0C9D988D-B708-4F10-8E73-451D5F8C95C8}">
            <xm:f>Listas!$B$5</xm:f>
            <x14:dxf>
              <font>
                <b/>
                <i val="0"/>
                <color theme="0"/>
              </font>
              <fill>
                <patternFill>
                  <bgColor rgb="FFFFC000"/>
                </patternFill>
              </fill>
            </x14:dxf>
          </x14:cfRule>
          <x14:cfRule type="cellIs" priority="335" operator="equal" id="{F566F99F-974A-4016-B50E-ADA0963BBCE0}">
            <xm:f>Listas!$B$4</xm:f>
            <x14:dxf>
              <font>
                <b/>
                <i val="0"/>
                <color theme="0"/>
              </font>
              <fill>
                <patternFill>
                  <bgColor rgb="FF00B050"/>
                </patternFill>
              </fill>
            </x14:dxf>
          </x14:cfRule>
          <xm:sqref>H14</xm:sqref>
        </x14:conditionalFormatting>
        <x14:conditionalFormatting xmlns:xm="http://schemas.microsoft.com/office/excel/2006/main">
          <x14:cfRule type="cellIs" priority="330" operator="equal" id="{A108C0BA-7BC7-4A30-B324-9CA4250DFCCD}">
            <xm:f>Listas!$B$6</xm:f>
            <x14:dxf>
              <font>
                <b/>
                <i val="0"/>
                <color theme="0"/>
              </font>
              <fill>
                <patternFill>
                  <bgColor rgb="FFC6007E"/>
                </patternFill>
              </fill>
            </x14:dxf>
          </x14:cfRule>
          <x14:cfRule type="cellIs" priority="331" operator="equal" id="{91DF2F50-2335-40FE-909E-889261D7467B}">
            <xm:f>Listas!$B$5</xm:f>
            <x14:dxf>
              <font>
                <b/>
                <i val="0"/>
                <color theme="0"/>
              </font>
              <fill>
                <patternFill>
                  <bgColor rgb="FFFFC000"/>
                </patternFill>
              </fill>
            </x14:dxf>
          </x14:cfRule>
          <x14:cfRule type="cellIs" priority="332" operator="equal" id="{0C5FF68D-B7A7-4144-98CF-20B939C95579}">
            <xm:f>Listas!$B$4</xm:f>
            <x14:dxf>
              <font>
                <b/>
                <i val="0"/>
                <color theme="0"/>
              </font>
              <fill>
                <patternFill>
                  <bgColor rgb="FF00B050"/>
                </patternFill>
              </fill>
            </x14:dxf>
          </x14:cfRule>
          <xm:sqref>M14:M15</xm:sqref>
        </x14:conditionalFormatting>
        <x14:conditionalFormatting xmlns:xm="http://schemas.microsoft.com/office/excel/2006/main">
          <x14:cfRule type="cellIs" priority="327" operator="equal" id="{1ECFB2C6-0055-4C64-9D41-17ACA09A19E8}">
            <xm:f>Listas!$B$6</xm:f>
            <x14:dxf>
              <font>
                <b/>
                <i val="0"/>
                <color theme="0"/>
              </font>
              <fill>
                <patternFill>
                  <bgColor rgb="FFC6007E"/>
                </patternFill>
              </fill>
            </x14:dxf>
          </x14:cfRule>
          <x14:cfRule type="cellIs" priority="328" operator="equal" id="{BA8D1306-B66A-4848-AF02-B557A0D4D7B4}">
            <xm:f>Listas!$B$5</xm:f>
            <x14:dxf>
              <font>
                <b/>
                <i val="0"/>
                <color theme="0"/>
              </font>
              <fill>
                <patternFill>
                  <bgColor rgb="FFFFC000"/>
                </patternFill>
              </fill>
            </x14:dxf>
          </x14:cfRule>
          <x14:cfRule type="cellIs" priority="329" operator="equal" id="{92AD88E6-A6C0-4759-BE90-5ABF34DB4F45}">
            <xm:f>Listas!$B$4</xm:f>
            <x14:dxf>
              <font>
                <b/>
                <i val="0"/>
                <color theme="0"/>
              </font>
              <fill>
                <patternFill>
                  <bgColor rgb="FF00B050"/>
                </patternFill>
              </fill>
            </x14:dxf>
          </x14:cfRule>
          <xm:sqref>R14:R15</xm:sqref>
        </x14:conditionalFormatting>
        <x14:conditionalFormatting xmlns:xm="http://schemas.microsoft.com/office/excel/2006/main">
          <x14:cfRule type="cellIs" priority="324" operator="equal" id="{E5F2A86B-3EDB-43A7-8731-B8AA0B8ED086}">
            <xm:f>Listas!$B$6</xm:f>
            <x14:dxf>
              <font>
                <b/>
                <i val="0"/>
                <color theme="0"/>
              </font>
              <fill>
                <patternFill>
                  <bgColor rgb="FFC6007E"/>
                </patternFill>
              </fill>
            </x14:dxf>
          </x14:cfRule>
          <x14:cfRule type="cellIs" priority="325" operator="equal" id="{18715C24-FFA9-4AC1-B904-21599DCC673A}">
            <xm:f>Listas!$B$5</xm:f>
            <x14:dxf>
              <font>
                <b/>
                <i val="0"/>
                <color theme="0"/>
              </font>
              <fill>
                <patternFill>
                  <bgColor rgb="FFFFC000"/>
                </patternFill>
              </fill>
            </x14:dxf>
          </x14:cfRule>
          <x14:cfRule type="cellIs" priority="326" operator="equal" id="{B46A99B3-8EFA-4748-97A0-4A996459503C}">
            <xm:f>Listas!$B$4</xm:f>
            <x14:dxf>
              <font>
                <b/>
                <i val="0"/>
                <color theme="0"/>
              </font>
              <fill>
                <patternFill>
                  <bgColor rgb="FF00B050"/>
                </patternFill>
              </fill>
            </x14:dxf>
          </x14:cfRule>
          <xm:sqref>W14:W17</xm:sqref>
        </x14:conditionalFormatting>
        <x14:conditionalFormatting xmlns:xm="http://schemas.microsoft.com/office/excel/2006/main">
          <x14:cfRule type="cellIs" priority="321" operator="equal" id="{19A59BD9-30A0-4174-A0E5-E39C16350ADE}">
            <xm:f>Listas!$B$6</xm:f>
            <x14:dxf>
              <font>
                <b/>
                <i val="0"/>
                <color theme="0"/>
              </font>
              <fill>
                <patternFill>
                  <bgColor rgb="FFC6007E"/>
                </patternFill>
              </fill>
            </x14:dxf>
          </x14:cfRule>
          <x14:cfRule type="cellIs" priority="322" operator="equal" id="{4FBE1E38-55B5-4633-BDFE-E15190452A1A}">
            <xm:f>Listas!$B$5</xm:f>
            <x14:dxf>
              <font>
                <b/>
                <i val="0"/>
                <color theme="0"/>
              </font>
              <fill>
                <patternFill>
                  <bgColor rgb="FFFFC000"/>
                </patternFill>
              </fill>
            </x14:dxf>
          </x14:cfRule>
          <x14:cfRule type="cellIs" priority="323" operator="equal" id="{974820C4-7842-46D0-A64F-CED2002DAEAF}">
            <xm:f>Listas!$B$4</xm:f>
            <x14:dxf>
              <font>
                <b/>
                <i val="0"/>
                <color theme="0"/>
              </font>
              <fill>
                <patternFill>
                  <bgColor rgb="FF00B050"/>
                </patternFill>
              </fill>
            </x14:dxf>
          </x14:cfRule>
          <xm:sqref>AB14</xm:sqref>
        </x14:conditionalFormatting>
        <x14:conditionalFormatting xmlns:xm="http://schemas.microsoft.com/office/excel/2006/main">
          <x14:cfRule type="cellIs" priority="312" operator="equal" id="{A41D6161-D2DB-4D2A-9526-2F42AD7179A7}">
            <xm:f>Listas!$B$6</xm:f>
            <x14:dxf>
              <font>
                <b/>
                <i val="0"/>
                <color theme="0"/>
              </font>
              <fill>
                <patternFill>
                  <bgColor rgb="FFC6007E"/>
                </patternFill>
              </fill>
            </x14:dxf>
          </x14:cfRule>
          <x14:cfRule type="cellIs" priority="313" operator="equal" id="{F3AFDC69-4F09-422D-8D92-9149BECF2106}">
            <xm:f>Listas!$B$5</xm:f>
            <x14:dxf>
              <font>
                <b/>
                <i val="0"/>
                <color theme="0"/>
              </font>
              <fill>
                <patternFill>
                  <bgColor rgb="FFFFC000"/>
                </patternFill>
              </fill>
            </x14:dxf>
          </x14:cfRule>
          <x14:cfRule type="cellIs" priority="314" operator="equal" id="{B3D7DFF7-7FCE-494D-BB74-755ED5D8C57A}">
            <xm:f>Listas!$B$4</xm:f>
            <x14:dxf>
              <font>
                <b/>
                <i val="0"/>
                <color theme="0"/>
              </font>
              <fill>
                <patternFill>
                  <bgColor rgb="FF00B050"/>
                </patternFill>
              </fill>
            </x14:dxf>
          </x14:cfRule>
          <xm:sqref>H15:H17</xm:sqref>
        </x14:conditionalFormatting>
        <x14:conditionalFormatting xmlns:xm="http://schemas.microsoft.com/office/excel/2006/main">
          <x14:cfRule type="cellIs" priority="309" operator="equal" id="{22B250E5-AD48-4F41-B705-E248691ECAD7}">
            <xm:f>Listas!$B$6</xm:f>
            <x14:dxf>
              <font>
                <b/>
                <i val="0"/>
                <color theme="0"/>
              </font>
              <fill>
                <patternFill>
                  <bgColor rgb="FFC6007E"/>
                </patternFill>
              </fill>
            </x14:dxf>
          </x14:cfRule>
          <x14:cfRule type="cellIs" priority="310" operator="equal" id="{01FFA02F-A4BF-4B96-93A0-5FCA41231591}">
            <xm:f>Listas!$B$5</xm:f>
            <x14:dxf>
              <font>
                <b/>
                <i val="0"/>
                <color theme="0"/>
              </font>
              <fill>
                <patternFill>
                  <bgColor rgb="FFFFC000"/>
                </patternFill>
              </fill>
            </x14:dxf>
          </x14:cfRule>
          <x14:cfRule type="cellIs" priority="311" operator="equal" id="{6382FEC2-A1D6-4A43-B37F-A83CFC261548}">
            <xm:f>Listas!$B$4</xm:f>
            <x14:dxf>
              <font>
                <b/>
                <i val="0"/>
                <color theme="0"/>
              </font>
              <fill>
                <patternFill>
                  <bgColor rgb="FF00B050"/>
                </patternFill>
              </fill>
            </x14:dxf>
          </x14:cfRule>
          <xm:sqref>I15:I17</xm:sqref>
        </x14:conditionalFormatting>
        <x14:conditionalFormatting xmlns:xm="http://schemas.microsoft.com/office/excel/2006/main">
          <x14:cfRule type="cellIs" priority="306" operator="equal" id="{C9813BA9-302E-4553-A5B9-5ADFFAB02178}">
            <xm:f>Listas!$B$6</xm:f>
            <x14:dxf>
              <font>
                <b/>
                <i val="0"/>
                <color theme="0"/>
              </font>
              <fill>
                <patternFill>
                  <bgColor rgb="FFC6007E"/>
                </patternFill>
              </fill>
            </x14:dxf>
          </x14:cfRule>
          <x14:cfRule type="cellIs" priority="307" operator="equal" id="{DBD4A39C-6901-4B14-B6E6-61CB95F7AAFD}">
            <xm:f>Listas!$B$5</xm:f>
            <x14:dxf>
              <font>
                <b/>
                <i val="0"/>
                <color theme="0"/>
              </font>
              <fill>
                <patternFill>
                  <bgColor rgb="FFFFC000"/>
                </patternFill>
              </fill>
            </x14:dxf>
          </x14:cfRule>
          <x14:cfRule type="cellIs" priority="308" operator="equal" id="{114BEC21-0ED1-49B8-9F06-064DC089F282}">
            <xm:f>Listas!$B$4</xm:f>
            <x14:dxf>
              <font>
                <b/>
                <i val="0"/>
                <color theme="0"/>
              </font>
              <fill>
                <patternFill>
                  <bgColor rgb="FF00B050"/>
                </patternFill>
              </fill>
            </x14:dxf>
          </x14:cfRule>
          <xm:sqref>AB15</xm:sqref>
        </x14:conditionalFormatting>
        <x14:conditionalFormatting xmlns:xm="http://schemas.microsoft.com/office/excel/2006/main">
          <x14:cfRule type="cellIs" priority="303" operator="equal" id="{DC8262B3-D4D8-4523-A3AE-DCC65BFF7F6E}">
            <xm:f>Listas!$B$6</xm:f>
            <x14:dxf>
              <font>
                <b/>
                <i val="0"/>
                <color theme="0"/>
              </font>
              <fill>
                <patternFill>
                  <bgColor rgb="FFC6007E"/>
                </patternFill>
              </fill>
            </x14:dxf>
          </x14:cfRule>
          <x14:cfRule type="cellIs" priority="304" operator="equal" id="{EB007A17-8426-40C3-A884-423F6A33C391}">
            <xm:f>Listas!$B$5</xm:f>
            <x14:dxf>
              <font>
                <b/>
                <i val="0"/>
                <color theme="0"/>
              </font>
              <fill>
                <patternFill>
                  <bgColor rgb="FFFFC000"/>
                </patternFill>
              </fill>
            </x14:dxf>
          </x14:cfRule>
          <x14:cfRule type="cellIs" priority="305" operator="equal" id="{86833840-C389-4BB3-B2CA-C0ADB9A8F742}">
            <xm:f>Listas!$B$4</xm:f>
            <x14:dxf>
              <font>
                <b/>
                <i val="0"/>
                <color theme="0"/>
              </font>
              <fill>
                <patternFill>
                  <bgColor rgb="FF00B050"/>
                </patternFill>
              </fill>
            </x14:dxf>
          </x14:cfRule>
          <xm:sqref>AC15</xm:sqref>
        </x14:conditionalFormatting>
        <x14:conditionalFormatting xmlns:xm="http://schemas.microsoft.com/office/excel/2006/main">
          <x14:cfRule type="cellIs" priority="300" operator="equal" id="{75FD8F42-A90E-4013-90E2-E0B534D8D8B6}">
            <xm:f>Listas!$B$6</xm:f>
            <x14:dxf>
              <font>
                <b/>
                <i val="0"/>
                <color theme="0"/>
              </font>
              <fill>
                <patternFill>
                  <bgColor rgb="FFC6007E"/>
                </patternFill>
              </fill>
            </x14:dxf>
          </x14:cfRule>
          <x14:cfRule type="cellIs" priority="301" operator="equal" id="{FE4B626F-CECC-4087-9DA4-F7E4656F33BB}">
            <xm:f>Listas!$B$5</xm:f>
            <x14:dxf>
              <font>
                <b/>
                <i val="0"/>
                <color theme="0"/>
              </font>
              <fill>
                <patternFill>
                  <bgColor rgb="FFFFC000"/>
                </patternFill>
              </fill>
            </x14:dxf>
          </x14:cfRule>
          <x14:cfRule type="cellIs" priority="302" operator="equal" id="{98775B25-F6A4-41A4-B509-61D1348BC428}">
            <xm:f>Listas!$B$4</xm:f>
            <x14:dxf>
              <font>
                <b/>
                <i val="0"/>
                <color theme="0"/>
              </font>
              <fill>
                <patternFill>
                  <bgColor rgb="FF00B050"/>
                </patternFill>
              </fill>
            </x14:dxf>
          </x14:cfRule>
          <xm:sqref>M17</xm:sqref>
        </x14:conditionalFormatting>
        <x14:conditionalFormatting xmlns:xm="http://schemas.microsoft.com/office/excel/2006/main">
          <x14:cfRule type="cellIs" priority="297" operator="equal" id="{67EAA527-98E5-4E14-A404-4E2FECDB9AE2}">
            <xm:f>Listas!$B$6</xm:f>
            <x14:dxf>
              <font>
                <b/>
                <i val="0"/>
                <color theme="0"/>
              </font>
              <fill>
                <patternFill>
                  <bgColor rgb="FFC6007E"/>
                </patternFill>
              </fill>
            </x14:dxf>
          </x14:cfRule>
          <x14:cfRule type="cellIs" priority="298" operator="equal" id="{220C8E9F-E3DC-491A-9F2E-52A3BC36C134}">
            <xm:f>Listas!$B$5</xm:f>
            <x14:dxf>
              <font>
                <b/>
                <i val="0"/>
                <color theme="0"/>
              </font>
              <fill>
                <patternFill>
                  <bgColor rgb="FFFFC000"/>
                </patternFill>
              </fill>
            </x14:dxf>
          </x14:cfRule>
          <x14:cfRule type="cellIs" priority="299" operator="equal" id="{B8F38C25-58ED-4E7F-ABA1-E9AFE09EA8D1}">
            <xm:f>Listas!$B$4</xm:f>
            <x14:dxf>
              <font>
                <b/>
                <i val="0"/>
                <color theme="0"/>
              </font>
              <fill>
                <patternFill>
                  <bgColor rgb="FF00B050"/>
                </patternFill>
              </fill>
            </x14:dxf>
          </x14:cfRule>
          <xm:sqref>M16</xm:sqref>
        </x14:conditionalFormatting>
        <x14:conditionalFormatting xmlns:xm="http://schemas.microsoft.com/office/excel/2006/main">
          <x14:cfRule type="cellIs" priority="294" operator="equal" id="{EE5D03B8-4CFD-47B4-979E-EE1A9CC478A4}">
            <xm:f>Listas!$B$6</xm:f>
            <x14:dxf>
              <font>
                <b/>
                <i val="0"/>
                <color theme="0"/>
              </font>
              <fill>
                <patternFill>
                  <bgColor rgb="FFC6007E"/>
                </patternFill>
              </fill>
            </x14:dxf>
          </x14:cfRule>
          <x14:cfRule type="cellIs" priority="295" operator="equal" id="{EBB13280-D250-43B5-9624-82823804B2D2}">
            <xm:f>Listas!$B$5</xm:f>
            <x14:dxf>
              <font>
                <b/>
                <i val="0"/>
                <color theme="0"/>
              </font>
              <fill>
                <patternFill>
                  <bgColor rgb="FFFFC000"/>
                </patternFill>
              </fill>
            </x14:dxf>
          </x14:cfRule>
          <x14:cfRule type="cellIs" priority="296" operator="equal" id="{A587AE34-3186-4387-97D7-24C4242C9B09}">
            <xm:f>Listas!$B$4</xm:f>
            <x14:dxf>
              <font>
                <b/>
                <i val="0"/>
                <color theme="0"/>
              </font>
              <fill>
                <patternFill>
                  <bgColor rgb="FF00B050"/>
                </patternFill>
              </fill>
            </x14:dxf>
          </x14:cfRule>
          <xm:sqref>R16</xm:sqref>
        </x14:conditionalFormatting>
        <x14:conditionalFormatting xmlns:xm="http://schemas.microsoft.com/office/excel/2006/main">
          <x14:cfRule type="cellIs" priority="291" operator="equal" id="{24C37EBE-7836-4E1C-816D-3FD2DEE5892A}">
            <xm:f>Listas!$B$6</xm:f>
            <x14:dxf>
              <font>
                <b/>
                <i val="0"/>
                <color theme="0"/>
              </font>
              <fill>
                <patternFill>
                  <bgColor rgb="FFC6007E"/>
                </patternFill>
              </fill>
            </x14:dxf>
          </x14:cfRule>
          <x14:cfRule type="cellIs" priority="292" operator="equal" id="{A3D096C4-2EE4-43A0-83E4-322A50C24C6F}">
            <xm:f>Listas!$B$5</xm:f>
            <x14:dxf>
              <font>
                <b/>
                <i val="0"/>
                <color theme="0"/>
              </font>
              <fill>
                <patternFill>
                  <bgColor rgb="FFFFC000"/>
                </patternFill>
              </fill>
            </x14:dxf>
          </x14:cfRule>
          <x14:cfRule type="cellIs" priority="293" operator="equal" id="{023EDC2E-52B5-49FC-A78B-CF3606BC06B3}">
            <xm:f>Listas!$B$4</xm:f>
            <x14:dxf>
              <font>
                <b/>
                <i val="0"/>
                <color theme="0"/>
              </font>
              <fill>
                <patternFill>
                  <bgColor rgb="FF00B050"/>
                </patternFill>
              </fill>
            </x14:dxf>
          </x14:cfRule>
          <xm:sqref>R17</xm:sqref>
        </x14:conditionalFormatting>
        <x14:conditionalFormatting xmlns:xm="http://schemas.microsoft.com/office/excel/2006/main">
          <x14:cfRule type="cellIs" priority="288" operator="equal" id="{3A824351-16F2-4433-BCBD-B798B0D36BEA}">
            <xm:f>Listas!$B$6</xm:f>
            <x14:dxf>
              <font>
                <b/>
                <i val="0"/>
                <color theme="0"/>
              </font>
              <fill>
                <patternFill>
                  <bgColor rgb="FFC6007E"/>
                </patternFill>
              </fill>
            </x14:dxf>
          </x14:cfRule>
          <x14:cfRule type="cellIs" priority="289" operator="equal" id="{858816CA-3CF0-438A-A368-40E04AA6C093}">
            <xm:f>Listas!$B$5</xm:f>
            <x14:dxf>
              <font>
                <b/>
                <i val="0"/>
                <color theme="0"/>
              </font>
              <fill>
                <patternFill>
                  <bgColor rgb="FFFFC000"/>
                </patternFill>
              </fill>
            </x14:dxf>
          </x14:cfRule>
          <x14:cfRule type="cellIs" priority="290" operator="equal" id="{689F6A3E-A0DC-4599-AAF9-F9567FF3BED6}">
            <xm:f>Listas!$B$4</xm:f>
            <x14:dxf>
              <font>
                <b/>
                <i val="0"/>
                <color theme="0"/>
              </font>
              <fill>
                <patternFill>
                  <bgColor rgb="FF00B050"/>
                </patternFill>
              </fill>
            </x14:dxf>
          </x14:cfRule>
          <xm:sqref>X17</xm:sqref>
        </x14:conditionalFormatting>
        <x14:conditionalFormatting xmlns:xm="http://schemas.microsoft.com/office/excel/2006/main">
          <x14:cfRule type="cellIs" priority="285" operator="equal" id="{C5CDD8A7-905C-498E-AED8-166128622932}">
            <xm:f>Listas!$B$6</xm:f>
            <x14:dxf>
              <font>
                <b/>
                <i val="0"/>
                <color theme="0"/>
              </font>
              <fill>
                <patternFill>
                  <bgColor rgb="FFC6007E"/>
                </patternFill>
              </fill>
            </x14:dxf>
          </x14:cfRule>
          <x14:cfRule type="cellIs" priority="286" operator="equal" id="{E34763F5-68A7-48C8-A841-C93C01E00D2E}">
            <xm:f>Listas!$B$5</xm:f>
            <x14:dxf>
              <font>
                <b/>
                <i val="0"/>
                <color theme="0"/>
              </font>
              <fill>
                <patternFill>
                  <bgColor rgb="FFFFC000"/>
                </patternFill>
              </fill>
            </x14:dxf>
          </x14:cfRule>
          <x14:cfRule type="cellIs" priority="287" operator="equal" id="{99288223-E80C-4B5F-A5ED-D0C9A5A90A09}">
            <xm:f>Listas!$B$4</xm:f>
            <x14:dxf>
              <font>
                <b/>
                <i val="0"/>
                <color theme="0"/>
              </font>
              <fill>
                <patternFill>
                  <bgColor rgb="FF00B050"/>
                </patternFill>
              </fill>
            </x14:dxf>
          </x14:cfRule>
          <xm:sqref>X16</xm:sqref>
        </x14:conditionalFormatting>
        <x14:conditionalFormatting xmlns:xm="http://schemas.microsoft.com/office/excel/2006/main">
          <x14:cfRule type="cellIs" priority="282" operator="equal" id="{507897C3-493A-4EC6-9DF1-266CAA41E69B}">
            <xm:f>Listas!$B$6</xm:f>
            <x14:dxf>
              <font>
                <b/>
                <i val="0"/>
                <color theme="0"/>
              </font>
              <fill>
                <patternFill>
                  <bgColor rgb="FFC6007E"/>
                </patternFill>
              </fill>
            </x14:dxf>
          </x14:cfRule>
          <x14:cfRule type="cellIs" priority="283" operator="equal" id="{9A5214D2-1B84-4331-B329-E515F9133E54}">
            <xm:f>Listas!$B$5</xm:f>
            <x14:dxf>
              <font>
                <b/>
                <i val="0"/>
                <color theme="0"/>
              </font>
              <fill>
                <patternFill>
                  <bgColor rgb="FFFFC000"/>
                </patternFill>
              </fill>
            </x14:dxf>
          </x14:cfRule>
          <x14:cfRule type="cellIs" priority="284" operator="equal" id="{0A221DB9-8F32-4E49-B7C0-D1E824627DEB}">
            <xm:f>Listas!$B$4</xm:f>
            <x14:dxf>
              <font>
                <b/>
                <i val="0"/>
                <color theme="0"/>
              </font>
              <fill>
                <patternFill>
                  <bgColor rgb="FF00B050"/>
                </patternFill>
              </fill>
            </x14:dxf>
          </x14:cfRule>
          <xm:sqref>AC16</xm:sqref>
        </x14:conditionalFormatting>
        <x14:conditionalFormatting xmlns:xm="http://schemas.microsoft.com/office/excel/2006/main">
          <x14:cfRule type="cellIs" priority="279" operator="equal" id="{FF984B7D-9365-40C4-8F9B-12F6AF8DB0DF}">
            <xm:f>Listas!$B$6</xm:f>
            <x14:dxf>
              <font>
                <b/>
                <i val="0"/>
                <color theme="0"/>
              </font>
              <fill>
                <patternFill>
                  <bgColor rgb="FFC6007E"/>
                </patternFill>
              </fill>
            </x14:dxf>
          </x14:cfRule>
          <x14:cfRule type="cellIs" priority="280" operator="equal" id="{F0974723-62DF-40B7-8142-9547A70E5EC2}">
            <xm:f>Listas!$B$5</xm:f>
            <x14:dxf>
              <font>
                <b/>
                <i val="0"/>
                <color theme="0"/>
              </font>
              <fill>
                <patternFill>
                  <bgColor rgb="FFFFC000"/>
                </patternFill>
              </fill>
            </x14:dxf>
          </x14:cfRule>
          <x14:cfRule type="cellIs" priority="281" operator="equal" id="{916F9A77-F0D0-43EC-B60B-0D61EB7412D9}">
            <xm:f>Listas!$B$4</xm:f>
            <x14:dxf>
              <font>
                <b/>
                <i val="0"/>
                <color theme="0"/>
              </font>
              <fill>
                <patternFill>
                  <bgColor rgb="FF00B050"/>
                </patternFill>
              </fill>
            </x14:dxf>
          </x14:cfRule>
          <xm:sqref>AC17</xm:sqref>
        </x14:conditionalFormatting>
        <x14:conditionalFormatting xmlns:xm="http://schemas.microsoft.com/office/excel/2006/main">
          <x14:cfRule type="cellIs" priority="276" operator="equal" id="{181ADA6E-D4D7-4288-BA3E-D8E207E65C90}">
            <xm:f>Listas!$B$6</xm:f>
            <x14:dxf>
              <font>
                <b/>
                <i val="0"/>
                <color theme="0"/>
              </font>
              <fill>
                <patternFill>
                  <bgColor rgb="FFC6007E"/>
                </patternFill>
              </fill>
            </x14:dxf>
          </x14:cfRule>
          <x14:cfRule type="cellIs" priority="277" operator="equal" id="{9ECE402C-E735-4955-9C7D-A0330A94477B}">
            <xm:f>Listas!$B$5</xm:f>
            <x14:dxf>
              <font>
                <b/>
                <i val="0"/>
                <color theme="0"/>
              </font>
              <fill>
                <patternFill>
                  <bgColor rgb="FFFFC000"/>
                </patternFill>
              </fill>
            </x14:dxf>
          </x14:cfRule>
          <x14:cfRule type="cellIs" priority="278" operator="equal" id="{7DB8E127-42A6-4984-96A2-644361F2091C}">
            <xm:f>Listas!$B$4</xm:f>
            <x14:dxf>
              <font>
                <b/>
                <i val="0"/>
                <color theme="0"/>
              </font>
              <fill>
                <patternFill>
                  <bgColor rgb="FF00B050"/>
                </patternFill>
              </fill>
            </x14:dxf>
          </x14:cfRule>
          <xm:sqref>AB17</xm:sqref>
        </x14:conditionalFormatting>
        <x14:conditionalFormatting xmlns:xm="http://schemas.microsoft.com/office/excel/2006/main">
          <x14:cfRule type="cellIs" priority="273" operator="equal" id="{F06B24E9-1C1A-49B6-92A0-EFC4A03A3EDF}">
            <xm:f>Listas!$B$6</xm:f>
            <x14:dxf>
              <font>
                <b/>
                <i val="0"/>
                <color theme="0"/>
              </font>
              <fill>
                <patternFill>
                  <bgColor rgb="FFC6007E"/>
                </patternFill>
              </fill>
            </x14:dxf>
          </x14:cfRule>
          <x14:cfRule type="cellIs" priority="274" operator="equal" id="{437B5668-EE2A-4338-A9F4-9E6A79EECA03}">
            <xm:f>Listas!$B$5</xm:f>
            <x14:dxf>
              <font>
                <b/>
                <i val="0"/>
                <color theme="0"/>
              </font>
              <fill>
                <patternFill>
                  <bgColor rgb="FFFFC000"/>
                </patternFill>
              </fill>
            </x14:dxf>
          </x14:cfRule>
          <x14:cfRule type="cellIs" priority="275" operator="equal" id="{F9CB3584-E7D2-4964-98E1-86C8FC849A86}">
            <xm:f>Listas!$B$4</xm:f>
            <x14:dxf>
              <font>
                <b/>
                <i val="0"/>
                <color theme="0"/>
              </font>
              <fill>
                <patternFill>
                  <bgColor rgb="FF00B050"/>
                </patternFill>
              </fill>
            </x14:dxf>
          </x14:cfRule>
          <xm:sqref>AB16</xm:sqref>
        </x14:conditionalFormatting>
        <x14:conditionalFormatting xmlns:xm="http://schemas.microsoft.com/office/excel/2006/main">
          <x14:cfRule type="cellIs" priority="240" operator="equal" id="{086E244D-52FE-48D9-B9C6-06B765760528}">
            <xm:f>Listas!$B$6</xm:f>
            <x14:dxf>
              <font>
                <b/>
                <i val="0"/>
                <color theme="0"/>
              </font>
              <fill>
                <patternFill>
                  <bgColor rgb="FFC6007E"/>
                </patternFill>
              </fill>
            </x14:dxf>
          </x14:cfRule>
          <x14:cfRule type="cellIs" priority="241" operator="equal" id="{3AE60EA9-B5B7-4DB5-8154-B27689515C25}">
            <xm:f>Listas!$B$5</xm:f>
            <x14:dxf>
              <font>
                <b/>
                <i val="0"/>
                <color theme="0"/>
              </font>
              <fill>
                <patternFill>
                  <bgColor rgb="FFFFC000"/>
                </patternFill>
              </fill>
            </x14:dxf>
          </x14:cfRule>
          <x14:cfRule type="cellIs" priority="242" operator="equal" id="{EBC7015B-27BF-4B7B-AB38-1BB438F8C92E}">
            <xm:f>Listas!$B$4</xm:f>
            <x14:dxf>
              <font>
                <b/>
                <i val="0"/>
                <color theme="0"/>
              </font>
              <fill>
                <patternFill>
                  <bgColor rgb="FF00B050"/>
                </patternFill>
              </fill>
            </x14:dxf>
          </x14:cfRule>
          <xm:sqref>N12</xm:sqref>
        </x14:conditionalFormatting>
        <x14:conditionalFormatting xmlns:xm="http://schemas.microsoft.com/office/excel/2006/main">
          <x14:cfRule type="cellIs" priority="237" operator="equal" id="{A61D1AA6-79F1-4CB8-A83D-F55122E28B23}">
            <xm:f>Listas!$B$6</xm:f>
            <x14:dxf>
              <font>
                <b/>
                <i val="0"/>
                <color theme="0"/>
              </font>
              <fill>
                <patternFill>
                  <bgColor rgb="FFC6007E"/>
                </patternFill>
              </fill>
            </x14:dxf>
          </x14:cfRule>
          <x14:cfRule type="cellIs" priority="238" operator="equal" id="{2599E01C-C9CC-4B48-9613-202B035C330E}">
            <xm:f>Listas!$B$5</xm:f>
            <x14:dxf>
              <font>
                <b/>
                <i val="0"/>
                <color theme="0"/>
              </font>
              <fill>
                <patternFill>
                  <bgColor rgb="FFFFC000"/>
                </patternFill>
              </fill>
            </x14:dxf>
          </x14:cfRule>
          <x14:cfRule type="cellIs" priority="239" operator="equal" id="{A0116C27-72BC-4E8F-9FBB-5F70A1896A9E}">
            <xm:f>Listas!$B$4</xm:f>
            <x14:dxf>
              <font>
                <b/>
                <i val="0"/>
                <color theme="0"/>
              </font>
              <fill>
                <patternFill>
                  <bgColor rgb="FF00B050"/>
                </patternFill>
              </fill>
            </x14:dxf>
          </x14:cfRule>
          <xm:sqref>S12</xm:sqref>
        </x14:conditionalFormatting>
        <x14:conditionalFormatting xmlns:xm="http://schemas.microsoft.com/office/excel/2006/main">
          <x14:cfRule type="cellIs" priority="234" operator="equal" id="{92B860F7-3872-46A8-A89C-AF79A2BEF44D}">
            <xm:f>Listas!$B$6</xm:f>
            <x14:dxf>
              <font>
                <b/>
                <i val="0"/>
                <color theme="0"/>
              </font>
              <fill>
                <patternFill>
                  <bgColor rgb="FFC6007E"/>
                </patternFill>
              </fill>
            </x14:dxf>
          </x14:cfRule>
          <x14:cfRule type="cellIs" priority="235" operator="equal" id="{1ABFB31D-3CB7-493C-AB36-11C03A3C2960}">
            <xm:f>Listas!$B$5</xm:f>
            <x14:dxf>
              <font>
                <b/>
                <i val="0"/>
                <color theme="0"/>
              </font>
              <fill>
                <patternFill>
                  <bgColor rgb="FFFFC000"/>
                </patternFill>
              </fill>
            </x14:dxf>
          </x14:cfRule>
          <x14:cfRule type="cellIs" priority="236" operator="equal" id="{248A1053-FE93-4D6D-8C24-8F2C9AA6FD14}">
            <xm:f>Listas!$B$4</xm:f>
            <x14:dxf>
              <font>
                <b/>
                <i val="0"/>
                <color theme="0"/>
              </font>
              <fill>
                <patternFill>
                  <bgColor rgb="FF00B050"/>
                </patternFill>
              </fill>
            </x14:dxf>
          </x14:cfRule>
          <xm:sqref>X12</xm:sqref>
        </x14:conditionalFormatting>
        <x14:conditionalFormatting xmlns:xm="http://schemas.microsoft.com/office/excel/2006/main">
          <x14:cfRule type="cellIs" priority="231" operator="equal" id="{74D130BC-4F7E-40CD-8F66-23205682C7F6}">
            <xm:f>Listas!$B$6</xm:f>
            <x14:dxf>
              <font>
                <b/>
                <i val="0"/>
                <color theme="0"/>
              </font>
              <fill>
                <patternFill>
                  <bgColor rgb="FFC6007E"/>
                </patternFill>
              </fill>
            </x14:dxf>
          </x14:cfRule>
          <x14:cfRule type="cellIs" priority="232" operator="equal" id="{E8A7509E-B94B-449A-AFD8-A2177BFE6819}">
            <xm:f>Listas!$B$5</xm:f>
            <x14:dxf>
              <font>
                <b/>
                <i val="0"/>
                <color theme="0"/>
              </font>
              <fill>
                <patternFill>
                  <bgColor rgb="FFFFC000"/>
                </patternFill>
              </fill>
            </x14:dxf>
          </x14:cfRule>
          <x14:cfRule type="cellIs" priority="233" operator="equal" id="{B2B4BE9C-52A0-43DE-A217-921C072796DB}">
            <xm:f>Listas!$B$4</xm:f>
            <x14:dxf>
              <font>
                <b/>
                <i val="0"/>
                <color theme="0"/>
              </font>
              <fill>
                <patternFill>
                  <bgColor rgb="FF00B050"/>
                </patternFill>
              </fill>
            </x14:dxf>
          </x14:cfRule>
          <xm:sqref>AC12</xm:sqref>
        </x14:conditionalFormatting>
        <x14:conditionalFormatting xmlns:xm="http://schemas.microsoft.com/office/excel/2006/main">
          <x14:cfRule type="cellIs" priority="205" operator="equal" id="{62AE31D2-7260-478B-B873-AD138C4B031A}">
            <xm:f>Listas!$D$6</xm:f>
            <x14:dxf>
              <font>
                <b/>
                <i val="0"/>
                <color theme="0"/>
              </font>
              <fill>
                <patternFill>
                  <bgColor rgb="FFC6007E"/>
                </patternFill>
              </fill>
            </x14:dxf>
          </x14:cfRule>
          <x14:cfRule type="cellIs" priority="206" operator="equal" id="{BE5C6A7D-6A32-4462-BB07-3E63C9162040}">
            <xm:f>Listas!$D$5</xm:f>
            <x14:dxf>
              <font>
                <color theme="0"/>
              </font>
              <fill>
                <patternFill>
                  <bgColor rgb="FFFFC000"/>
                </patternFill>
              </fill>
            </x14:dxf>
          </x14:cfRule>
          <xm:sqref>AH18:AH35</xm:sqref>
        </x14:conditionalFormatting>
        <x14:conditionalFormatting xmlns:xm="http://schemas.microsoft.com/office/excel/2006/main">
          <x14:cfRule type="cellIs" priority="202" operator="equal" id="{D231010F-E73B-44F4-AD66-5CC2668B28EF}">
            <xm:f>Listas!$F$6</xm:f>
            <x14:dxf>
              <font>
                <b/>
                <i val="0"/>
                <color theme="0"/>
              </font>
              <fill>
                <patternFill>
                  <bgColor rgb="FFC6007E"/>
                </patternFill>
              </fill>
            </x14:dxf>
          </x14:cfRule>
          <x14:cfRule type="cellIs" priority="203" operator="equal" id="{67368C15-4756-4F4E-85A8-3A50D572143B}">
            <xm:f>Listas!$F$5</xm:f>
            <x14:dxf>
              <font>
                <b/>
                <i val="0"/>
                <color theme="0"/>
              </font>
              <fill>
                <patternFill>
                  <bgColor rgb="FFFFC000"/>
                </patternFill>
              </fill>
            </x14:dxf>
          </x14:cfRule>
          <x14:cfRule type="cellIs" priority="204" operator="equal" id="{A8686710-F673-492F-B049-724748B33CAF}">
            <xm:f>Listas!$F$4</xm:f>
            <x14:dxf>
              <font>
                <b/>
                <i val="0"/>
                <color theme="0"/>
              </font>
              <fill>
                <patternFill>
                  <bgColor rgb="FF00B050"/>
                </patternFill>
              </fill>
            </x14:dxf>
          </x14:cfRule>
          <xm:sqref>AI12:AK35</xm:sqref>
        </x14:conditionalFormatting>
        <x14:conditionalFormatting xmlns:xm="http://schemas.microsoft.com/office/excel/2006/main">
          <x14:cfRule type="cellIs" priority="199" operator="equal" id="{C2A2DF23-7A7A-4A30-8A46-E2DA900AACBD}">
            <xm:f>Listas!$B$6</xm:f>
            <x14:dxf>
              <font>
                <b/>
                <i val="0"/>
                <color theme="0"/>
              </font>
              <fill>
                <patternFill>
                  <bgColor rgb="FFC6007E"/>
                </patternFill>
              </fill>
            </x14:dxf>
          </x14:cfRule>
          <x14:cfRule type="cellIs" priority="200" operator="equal" id="{9A74DD6F-A258-4921-8F67-4E7C1C795770}">
            <xm:f>Listas!$B$5</xm:f>
            <x14:dxf>
              <font>
                <b/>
                <i val="0"/>
                <color theme="0"/>
              </font>
              <fill>
                <patternFill>
                  <bgColor rgb="FFFFC000"/>
                </patternFill>
              </fill>
            </x14:dxf>
          </x14:cfRule>
          <x14:cfRule type="cellIs" priority="201" operator="equal" id="{7F52CCDD-B097-40FB-9661-0E1B878993E2}">
            <xm:f>Listas!$B$4</xm:f>
            <x14:dxf>
              <font>
                <b/>
                <i val="0"/>
                <color theme="0"/>
              </font>
              <fill>
                <patternFill>
                  <bgColor rgb="FF00B050"/>
                </patternFill>
              </fill>
            </x14:dxf>
          </x14:cfRule>
          <xm:sqref>AG18:AG35</xm:sqref>
        </x14:conditionalFormatting>
        <x14:conditionalFormatting xmlns:xm="http://schemas.microsoft.com/office/excel/2006/main">
          <x14:cfRule type="cellIs" priority="196" operator="equal" id="{9004ECC4-D37C-4B31-9A88-34247D32BDC2}">
            <xm:f>Listas!$B$6</xm:f>
            <x14:dxf>
              <font>
                <b/>
                <i val="0"/>
                <color theme="0"/>
              </font>
              <fill>
                <patternFill>
                  <bgColor rgb="FFC6007E"/>
                </patternFill>
              </fill>
            </x14:dxf>
          </x14:cfRule>
          <x14:cfRule type="cellIs" priority="197" operator="equal" id="{9E9304BC-9C19-4D86-96A1-87FD51C5681D}">
            <xm:f>Listas!$B$5</xm:f>
            <x14:dxf>
              <font>
                <b/>
                <i val="0"/>
                <color theme="0"/>
              </font>
              <fill>
                <patternFill>
                  <bgColor rgb="FFFFC000"/>
                </patternFill>
              </fill>
            </x14:dxf>
          </x14:cfRule>
          <x14:cfRule type="cellIs" priority="198" operator="equal" id="{B7B39DD9-274D-4826-A462-C78D3FEBBF4E}">
            <xm:f>Listas!$B$4</xm:f>
            <x14:dxf>
              <font>
                <b/>
                <i val="0"/>
                <color theme="0"/>
              </font>
              <fill>
                <patternFill>
                  <bgColor rgb="FF00B050"/>
                </patternFill>
              </fill>
            </x14:dxf>
          </x14:cfRule>
          <xm:sqref>AG12</xm:sqref>
        </x14:conditionalFormatting>
        <x14:conditionalFormatting xmlns:xm="http://schemas.microsoft.com/office/excel/2006/main">
          <x14:cfRule type="cellIs" priority="193" operator="equal" id="{27F928E0-4803-4E28-9E8D-0E6FEE723ADD}">
            <xm:f>Listas!$B$6</xm:f>
            <x14:dxf>
              <font>
                <b/>
                <i val="0"/>
                <color theme="0"/>
              </font>
              <fill>
                <patternFill>
                  <bgColor rgb="FFC6007E"/>
                </patternFill>
              </fill>
            </x14:dxf>
          </x14:cfRule>
          <x14:cfRule type="cellIs" priority="194" operator="equal" id="{44648C77-80C0-4FEA-AC3D-8AAF44971323}">
            <xm:f>Listas!$B$5</xm:f>
            <x14:dxf>
              <font>
                <b/>
                <i val="0"/>
                <color theme="0"/>
              </font>
              <fill>
                <patternFill>
                  <bgColor rgb="FFFFC000"/>
                </patternFill>
              </fill>
            </x14:dxf>
          </x14:cfRule>
          <x14:cfRule type="cellIs" priority="195" operator="equal" id="{3CA5F95F-A8FD-4D64-AD3B-4C519D6C9B84}">
            <xm:f>Listas!$B$4</xm:f>
            <x14:dxf>
              <font>
                <b/>
                <i val="0"/>
                <color theme="0"/>
              </font>
              <fill>
                <patternFill>
                  <bgColor rgb="FF00B050"/>
                </patternFill>
              </fill>
            </x14:dxf>
          </x14:cfRule>
          <xm:sqref>AH13:AH14</xm:sqref>
        </x14:conditionalFormatting>
        <x14:conditionalFormatting xmlns:xm="http://schemas.microsoft.com/office/excel/2006/main">
          <x14:cfRule type="cellIs" priority="190" operator="equal" id="{9BAA8B58-F4A1-43C3-B78C-1329D19F3DE1}">
            <xm:f>Listas!$B$6</xm:f>
            <x14:dxf>
              <font>
                <b/>
                <i val="0"/>
                <color theme="0"/>
              </font>
              <fill>
                <patternFill>
                  <bgColor rgb="FFC6007E"/>
                </patternFill>
              </fill>
            </x14:dxf>
          </x14:cfRule>
          <x14:cfRule type="cellIs" priority="191" operator="equal" id="{04A52743-2E39-48D2-A97D-BF54AFBA303B}">
            <xm:f>Listas!$B$5</xm:f>
            <x14:dxf>
              <font>
                <b/>
                <i val="0"/>
                <color theme="0"/>
              </font>
              <fill>
                <patternFill>
                  <bgColor rgb="FFFFC000"/>
                </patternFill>
              </fill>
            </x14:dxf>
          </x14:cfRule>
          <x14:cfRule type="cellIs" priority="192" operator="equal" id="{D9C4F936-51D7-4DBC-A3D9-5FEC110FEF06}">
            <xm:f>Listas!$B$4</xm:f>
            <x14:dxf>
              <font>
                <b/>
                <i val="0"/>
                <color theme="0"/>
              </font>
              <fill>
                <patternFill>
                  <bgColor rgb="FF00B050"/>
                </patternFill>
              </fill>
            </x14:dxf>
          </x14:cfRule>
          <xm:sqref>AG13</xm:sqref>
        </x14:conditionalFormatting>
        <x14:conditionalFormatting xmlns:xm="http://schemas.microsoft.com/office/excel/2006/main">
          <x14:cfRule type="cellIs" priority="187" operator="equal" id="{EBE25D12-EA75-4222-8155-B64F20374995}">
            <xm:f>Listas!$B$6</xm:f>
            <x14:dxf>
              <font>
                <b/>
                <i val="0"/>
                <color theme="0"/>
              </font>
              <fill>
                <patternFill>
                  <bgColor rgb="FFC6007E"/>
                </patternFill>
              </fill>
            </x14:dxf>
          </x14:cfRule>
          <x14:cfRule type="cellIs" priority="188" operator="equal" id="{C0535A4F-137C-4A2B-B69D-8FA9D8CBA4E3}">
            <xm:f>Listas!$B$5</xm:f>
            <x14:dxf>
              <font>
                <b/>
                <i val="0"/>
                <color theme="0"/>
              </font>
              <fill>
                <patternFill>
                  <bgColor rgb="FFFFC000"/>
                </patternFill>
              </fill>
            </x14:dxf>
          </x14:cfRule>
          <x14:cfRule type="cellIs" priority="189" operator="equal" id="{4FC3C592-5ED7-4E86-84E5-83722BBFE6FB}">
            <xm:f>Listas!$B$4</xm:f>
            <x14:dxf>
              <font>
                <b/>
                <i val="0"/>
                <color theme="0"/>
              </font>
              <fill>
                <patternFill>
                  <bgColor rgb="FF00B050"/>
                </patternFill>
              </fill>
            </x14:dxf>
          </x14:cfRule>
          <xm:sqref>AG14</xm:sqref>
        </x14:conditionalFormatting>
        <x14:conditionalFormatting xmlns:xm="http://schemas.microsoft.com/office/excel/2006/main">
          <x14:cfRule type="cellIs" priority="184" operator="equal" id="{2E2A04B7-5C82-4562-96C4-252088B7F5AB}">
            <xm:f>Listas!$B$6</xm:f>
            <x14:dxf>
              <font>
                <b/>
                <i val="0"/>
                <color theme="0"/>
              </font>
              <fill>
                <patternFill>
                  <bgColor rgb="FFC6007E"/>
                </patternFill>
              </fill>
            </x14:dxf>
          </x14:cfRule>
          <x14:cfRule type="cellIs" priority="185" operator="equal" id="{D2AD2B5E-9BDF-4938-9EB2-1DC727DDF164}">
            <xm:f>Listas!$B$5</xm:f>
            <x14:dxf>
              <font>
                <b/>
                <i val="0"/>
                <color theme="0"/>
              </font>
              <fill>
                <patternFill>
                  <bgColor rgb="FFFFC000"/>
                </patternFill>
              </fill>
            </x14:dxf>
          </x14:cfRule>
          <x14:cfRule type="cellIs" priority="186" operator="equal" id="{48256D24-4EB4-4685-8413-A47623E98695}">
            <xm:f>Listas!$B$4</xm:f>
            <x14:dxf>
              <font>
                <b/>
                <i val="0"/>
                <color theme="0"/>
              </font>
              <fill>
                <patternFill>
                  <bgColor rgb="FF00B050"/>
                </patternFill>
              </fill>
            </x14:dxf>
          </x14:cfRule>
          <xm:sqref>AG15</xm:sqref>
        </x14:conditionalFormatting>
        <x14:conditionalFormatting xmlns:xm="http://schemas.microsoft.com/office/excel/2006/main">
          <x14:cfRule type="cellIs" priority="181" operator="equal" id="{624586CC-1DDF-46E0-8C65-DB079D6356A7}">
            <xm:f>Listas!$B$6</xm:f>
            <x14:dxf>
              <font>
                <b/>
                <i val="0"/>
                <color theme="0"/>
              </font>
              <fill>
                <patternFill>
                  <bgColor rgb="FFC6007E"/>
                </patternFill>
              </fill>
            </x14:dxf>
          </x14:cfRule>
          <x14:cfRule type="cellIs" priority="182" operator="equal" id="{77D6D6F9-875E-420B-8F17-0E2F53452E9A}">
            <xm:f>Listas!$B$5</xm:f>
            <x14:dxf>
              <font>
                <b/>
                <i val="0"/>
                <color theme="0"/>
              </font>
              <fill>
                <patternFill>
                  <bgColor rgb="FFFFC000"/>
                </patternFill>
              </fill>
            </x14:dxf>
          </x14:cfRule>
          <x14:cfRule type="cellIs" priority="183" operator="equal" id="{304F1F60-EE11-45E0-9719-343BF7A9DFAB}">
            <xm:f>Listas!$B$4</xm:f>
            <x14:dxf>
              <font>
                <b/>
                <i val="0"/>
                <color theme="0"/>
              </font>
              <fill>
                <patternFill>
                  <bgColor rgb="FF00B050"/>
                </patternFill>
              </fill>
            </x14:dxf>
          </x14:cfRule>
          <xm:sqref>AH15</xm:sqref>
        </x14:conditionalFormatting>
        <x14:conditionalFormatting xmlns:xm="http://schemas.microsoft.com/office/excel/2006/main">
          <x14:cfRule type="cellIs" priority="178" operator="equal" id="{8D709FE1-EB26-467B-8499-A4248E69BB55}">
            <xm:f>Listas!$B$6</xm:f>
            <x14:dxf>
              <font>
                <b/>
                <i val="0"/>
                <color theme="0"/>
              </font>
              <fill>
                <patternFill>
                  <bgColor rgb="FFC6007E"/>
                </patternFill>
              </fill>
            </x14:dxf>
          </x14:cfRule>
          <x14:cfRule type="cellIs" priority="179" operator="equal" id="{D656A41F-88EA-432D-B60B-715A5CBF632A}">
            <xm:f>Listas!$B$5</xm:f>
            <x14:dxf>
              <font>
                <b/>
                <i val="0"/>
                <color theme="0"/>
              </font>
              <fill>
                <patternFill>
                  <bgColor rgb="FFFFC000"/>
                </patternFill>
              </fill>
            </x14:dxf>
          </x14:cfRule>
          <x14:cfRule type="cellIs" priority="180" operator="equal" id="{1D8C1AD4-FC68-4944-AD8B-D60D8E25A947}">
            <xm:f>Listas!$B$4</xm:f>
            <x14:dxf>
              <font>
                <b/>
                <i val="0"/>
                <color theme="0"/>
              </font>
              <fill>
                <patternFill>
                  <bgColor rgb="FF00B050"/>
                </patternFill>
              </fill>
            </x14:dxf>
          </x14:cfRule>
          <xm:sqref>AH16</xm:sqref>
        </x14:conditionalFormatting>
        <x14:conditionalFormatting xmlns:xm="http://schemas.microsoft.com/office/excel/2006/main">
          <x14:cfRule type="cellIs" priority="175" operator="equal" id="{784D4960-7CEF-48C8-886F-C87A8D21ED94}">
            <xm:f>Listas!$B$6</xm:f>
            <x14:dxf>
              <font>
                <b/>
                <i val="0"/>
                <color theme="0"/>
              </font>
              <fill>
                <patternFill>
                  <bgColor rgb="FFC6007E"/>
                </patternFill>
              </fill>
            </x14:dxf>
          </x14:cfRule>
          <x14:cfRule type="cellIs" priority="176" operator="equal" id="{1F6B17F6-3898-44D8-9B6C-D3B52ED4EDA8}">
            <xm:f>Listas!$B$5</xm:f>
            <x14:dxf>
              <font>
                <b/>
                <i val="0"/>
                <color theme="0"/>
              </font>
              <fill>
                <patternFill>
                  <bgColor rgb="FFFFC000"/>
                </patternFill>
              </fill>
            </x14:dxf>
          </x14:cfRule>
          <x14:cfRule type="cellIs" priority="177" operator="equal" id="{16257DD4-AADE-4FDE-A160-1B57FDFAED35}">
            <xm:f>Listas!$B$4</xm:f>
            <x14:dxf>
              <font>
                <b/>
                <i val="0"/>
                <color theme="0"/>
              </font>
              <fill>
                <patternFill>
                  <bgColor rgb="FF00B050"/>
                </patternFill>
              </fill>
            </x14:dxf>
          </x14:cfRule>
          <xm:sqref>AH17</xm:sqref>
        </x14:conditionalFormatting>
        <x14:conditionalFormatting xmlns:xm="http://schemas.microsoft.com/office/excel/2006/main">
          <x14:cfRule type="cellIs" priority="172" operator="equal" id="{E44B52D6-D265-4A74-9DF2-D58BE7527CF4}">
            <xm:f>Listas!$B$6</xm:f>
            <x14:dxf>
              <font>
                <b/>
                <i val="0"/>
                <color theme="0"/>
              </font>
              <fill>
                <patternFill>
                  <bgColor rgb="FFC6007E"/>
                </patternFill>
              </fill>
            </x14:dxf>
          </x14:cfRule>
          <x14:cfRule type="cellIs" priority="173" operator="equal" id="{BD82E822-BEF7-431B-982A-56F7AC4B93F5}">
            <xm:f>Listas!$B$5</xm:f>
            <x14:dxf>
              <font>
                <b/>
                <i val="0"/>
                <color theme="0"/>
              </font>
              <fill>
                <patternFill>
                  <bgColor rgb="FFFFC000"/>
                </patternFill>
              </fill>
            </x14:dxf>
          </x14:cfRule>
          <x14:cfRule type="cellIs" priority="174" operator="equal" id="{8DD4B1C1-3867-49C9-9578-047252CB8B2E}">
            <xm:f>Listas!$B$4</xm:f>
            <x14:dxf>
              <font>
                <b/>
                <i val="0"/>
                <color theme="0"/>
              </font>
              <fill>
                <patternFill>
                  <bgColor rgb="FF00B050"/>
                </patternFill>
              </fill>
            </x14:dxf>
          </x14:cfRule>
          <xm:sqref>AG17</xm:sqref>
        </x14:conditionalFormatting>
        <x14:conditionalFormatting xmlns:xm="http://schemas.microsoft.com/office/excel/2006/main">
          <x14:cfRule type="cellIs" priority="169" operator="equal" id="{BC7815D8-4F01-45F4-B43B-0B65DB5DB30F}">
            <xm:f>Listas!$B$6</xm:f>
            <x14:dxf>
              <font>
                <b/>
                <i val="0"/>
                <color theme="0"/>
              </font>
              <fill>
                <patternFill>
                  <bgColor rgb="FFC6007E"/>
                </patternFill>
              </fill>
            </x14:dxf>
          </x14:cfRule>
          <x14:cfRule type="cellIs" priority="170" operator="equal" id="{24365FF3-ECF6-4F03-AC5E-095E04F6EC7F}">
            <xm:f>Listas!$B$5</xm:f>
            <x14:dxf>
              <font>
                <b/>
                <i val="0"/>
                <color theme="0"/>
              </font>
              <fill>
                <patternFill>
                  <bgColor rgb="FFFFC000"/>
                </patternFill>
              </fill>
            </x14:dxf>
          </x14:cfRule>
          <x14:cfRule type="cellIs" priority="171" operator="equal" id="{61761F89-E16B-474D-9586-F4E4F28126CB}">
            <xm:f>Listas!$B$4</xm:f>
            <x14:dxf>
              <font>
                <b/>
                <i val="0"/>
                <color theme="0"/>
              </font>
              <fill>
                <patternFill>
                  <bgColor rgb="FF00B050"/>
                </patternFill>
              </fill>
            </x14:dxf>
          </x14:cfRule>
          <xm:sqref>AG16</xm:sqref>
        </x14:conditionalFormatting>
        <x14:conditionalFormatting xmlns:xm="http://schemas.microsoft.com/office/excel/2006/main">
          <x14:cfRule type="cellIs" priority="166" operator="equal" id="{14F54556-10E2-4466-9AAB-C4BB7988EA2F}">
            <xm:f>Listas!$B$6</xm:f>
            <x14:dxf>
              <font>
                <b/>
                <i val="0"/>
                <color theme="0"/>
              </font>
              <fill>
                <patternFill>
                  <bgColor rgb="FFC6007E"/>
                </patternFill>
              </fill>
            </x14:dxf>
          </x14:cfRule>
          <x14:cfRule type="cellIs" priority="167" operator="equal" id="{3A0536EA-AAF9-4EE6-9A1C-AD9D5FCA1C59}">
            <xm:f>Listas!$B$5</xm:f>
            <x14:dxf>
              <font>
                <b/>
                <i val="0"/>
                <color theme="0"/>
              </font>
              <fill>
                <patternFill>
                  <bgColor rgb="FFFFC000"/>
                </patternFill>
              </fill>
            </x14:dxf>
          </x14:cfRule>
          <x14:cfRule type="cellIs" priority="168" operator="equal" id="{DB035A2C-627C-4EF8-AD57-CC0BCB455890}">
            <xm:f>Listas!$B$4</xm:f>
            <x14:dxf>
              <font>
                <b/>
                <i val="0"/>
                <color theme="0"/>
              </font>
              <fill>
                <patternFill>
                  <bgColor rgb="FF00B050"/>
                </patternFill>
              </fill>
            </x14:dxf>
          </x14:cfRule>
          <xm:sqref>AH12</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3553DA89-1306-4880-92A7-CAC0DC7C4660}">
          <x14:formula1>
            <xm:f>Listas!$B$4:$B$6</xm:f>
          </x14:formula1>
          <xm:sqref>AC12:AC17 X12:X17 N12:N17 W12:W35 AB12:AB35 I12:I17 S12:S17 R12:R35 AH12:AH17 AG12:AG35 M12:M35</xm:sqref>
        </x14:dataValidation>
        <x14:dataValidation type="list" allowBlank="1" showInputMessage="1" showErrorMessage="1" xr:uid="{8DA4A322-665B-4F3E-B24D-E62C1FD607E0}">
          <x14:formula1>
            <xm:f>Listas!$D$4:$D$6</xm:f>
          </x14:formula1>
          <xm:sqref>X18:X35 S18:S35 AC18:AC35 AH18:AH35 I18:I35 N18:N35</xm:sqref>
        </x14:dataValidation>
        <x14:dataValidation type="list" allowBlank="1" showInputMessage="1" showErrorMessage="1" xr:uid="{E30CDE3B-BA4F-42A0-9D20-E98CC4F2A2C4}">
          <x14:formula1>
            <xm:f>Listas!$H$4:$H$5</xm:f>
          </x14:formula1>
          <xm:sqref>E51:E60 E73 E70:E71 E85 E82:E83 E10:E28 E39 E41:E48 E30:E34 E62:E68 E75:E77 E79:E80 E87 E89:E95 E97:E101 E36:E37</xm:sqref>
        </x14:dataValidation>
        <x14:dataValidation type="list" allowBlank="1" showInputMessage="1" showErrorMessage="1" xr:uid="{483C8AA5-E5C6-4780-8A45-83400F07A5CF}">
          <x14:formula1>
            <xm:f>Listas!$I$4:$I$6</xm:f>
          </x14:formula1>
          <xm:sqref>E85 E87 E89:E95 E97:E101</xm:sqref>
        </x14:dataValidation>
        <x14:dataValidation type="list" allowBlank="1" showInputMessage="1" showErrorMessage="1" xr:uid="{54E49070-8FF0-494D-A606-CF39857F61E4}">
          <x14:formula1>
            <xm:f>Listas!$F$4:$F$6</xm:f>
          </x14:formula1>
          <xm:sqref>AI12:AK35 O12:Q35 T12:V35 Y12:AA35 AD12:AF35 AD55:AF55 AD61 O58:O64 Y55</xm:sqref>
        </x14:dataValidation>
        <x14:dataValidation type="list" allowBlank="1" showInputMessage="1" showErrorMessage="1" xr:uid="{BF207E03-4680-4C41-8B65-D6EC6E424956}">
          <x14:formula1>
            <xm:f>Listas!$I$4:$I$8</xm:f>
          </x14:formula1>
          <xm:sqref>E40 AC45 E61 E74 E84 E86 I39 I36:I37 N7 N11 N36:N37 AC39 I41:I42 AC47 AH36 N46 S44 X46:X47 S41 AC65 AH39 AH48 AH89:AH95 S52 AC52 I52:I53 X53 S55 X55 AC55 AH55 I57 I59 N51:N60 X60 AC60 X63 N62:N64 AH45 N43 AC41:AC43 AH41:AH43 I71 N66 S66 AH64:AH65 N48 AH70 AC70:AC71 AC73 S73 N75 S75 X65:X68 S82 X79 AH77 N82 I75:I77 I82:I83 I85 AC85 I87 S87 AC82:AC83 I90 X91 S90:S92 S94 AC87 AC75:AC77 S79:S80 AC79:AC80 I95 S99 N98 X97:X101 N101 I100</xm:sqref>
        </x14:dataValidation>
        <x14:dataValidation type="list" allowBlank="1" showInputMessage="1" showErrorMessage="1" xr:uid="{94665C85-612A-4255-B6A6-CEB049F467EE}">
          <x14:formula1>
            <xm:f>Listas!$J$4:$J$8</xm:f>
          </x14:formula1>
          <xm:sqref>AG40 M10 M7 AB38 M40 H40 AB40 E38 H38 AG55 W55 AB55 E72 H13:H35 H103:H1048576</xm:sqref>
        </x14:dataValidation>
        <x14:dataValidation type="list" allowBlank="1" showInputMessage="1" showErrorMessage="1" xr:uid="{F52EF07C-7BDF-411D-80B7-DFA27A69B6D5}">
          <x14:formula1>
            <xm:f>Listas!$B$12:$B$15</xm:f>
          </x14:formula1>
          <xm:sqref>E7</xm:sqref>
        </x14:dataValidation>
        <x14:dataValidation type="list" allowBlank="1" showInputMessage="1" showErrorMessage="1" xr:uid="{3B5E842D-F7B5-4DF1-9DB2-4F03A9149D5F}">
          <x14:formula1>
            <xm:f>Listas!$B$18:$B$24</xm:f>
          </x14:formula1>
          <xm:sqref>E29</xm:sqref>
        </x14:dataValidation>
        <x14:dataValidation type="list" allowBlank="1" showInputMessage="1" showErrorMessage="1" xr:uid="{90F5BD88-5AAC-4BDF-B290-ED29F18F8A0D}">
          <x14:formula1>
            <xm:f>Listas!$B$27:$B$31</xm:f>
          </x14:formula1>
          <xm:sqref>E4</xm:sqref>
        </x14:dataValidation>
        <x14:dataValidation type="list" allowBlank="1" showInputMessage="1" showErrorMessage="1" xr:uid="{4F7259B1-A209-418F-BA3A-D0DC015973EC}">
          <x14:formula1>
            <xm:f>Listas!$L$4:$L$8</xm:f>
          </x14:formula1>
          <xm:sqref>E50</xm:sqref>
        </x14:dataValidation>
        <x14:dataValidation type="list" allowBlank="1" showInputMessage="1" showErrorMessage="1" xr:uid="{8FB7DAE2-8438-4135-8613-9245A332C887}">
          <x14:formula1>
            <xm:f>Listas!$B$34:$B$52</xm:f>
          </x14:formula1>
          <xm:sqref>E35</xm:sqref>
        </x14:dataValidation>
        <x14:dataValidation type="list" allowBlank="1" showInputMessage="1" showErrorMessage="1" xr:uid="{53A9B725-7004-48C9-A1F6-F41FA40096F3}">
          <x14:formula1>
            <xm:f>Listas!$M$4:$M$6</xm:f>
          </x14:formula1>
          <xm:sqref>E49 E69 E78 E81 E88 E96 E102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7D84E-3A5F-4C53-A1BA-B6F80E716F49}">
  <sheetPr codeName="Sheet1"/>
  <dimension ref="B5:K13"/>
  <sheetViews>
    <sheetView zoomScale="80" zoomScaleNormal="80" workbookViewId="0">
      <selection activeCell="B8" sqref="B8"/>
    </sheetView>
  </sheetViews>
  <sheetFormatPr defaultColWidth="9.140625" defaultRowHeight="18.75" x14ac:dyDescent="0.25"/>
  <cols>
    <col min="1" max="1" width="3.42578125" customWidth="1"/>
    <col min="2" max="2" width="54.28515625" style="27" customWidth="1"/>
    <col min="3" max="3" width="29.42578125" style="3" customWidth="1"/>
    <col min="4" max="4" width="32" style="12" customWidth="1"/>
    <col min="5" max="6" width="32" bestFit="1" customWidth="1"/>
    <col min="7" max="7" width="26.7109375" bestFit="1" customWidth="1"/>
    <col min="8" max="8" width="23.28515625" customWidth="1"/>
  </cols>
  <sheetData>
    <row r="5" spans="2:11" ht="15.6" customHeight="1" x14ac:dyDescent="0.25"/>
    <row r="6" spans="2:11" s="3" customFormat="1" ht="39.75" customHeight="1" x14ac:dyDescent="0.25">
      <c r="B6" s="194"/>
      <c r="C6" s="194"/>
      <c r="D6" s="29"/>
      <c r="E6" s="82"/>
      <c r="F6" s="29"/>
      <c r="G6" s="29"/>
      <c r="H6" s="29"/>
      <c r="I6" s="29"/>
      <c r="J6" s="29"/>
      <c r="K6" s="29"/>
    </row>
    <row r="7" spans="2:11" ht="27.75" customHeight="1" x14ac:dyDescent="0.25">
      <c r="B7" s="153" t="s">
        <v>595</v>
      </c>
      <c r="C7" s="81" t="s">
        <v>567</v>
      </c>
      <c r="D7" s="81" t="s">
        <v>568</v>
      </c>
      <c r="E7" s="81" t="s">
        <v>569</v>
      </c>
    </row>
    <row r="8" spans="2:11" ht="27.75" customHeight="1" x14ac:dyDescent="0.25">
      <c r="B8" s="75" t="s">
        <v>126</v>
      </c>
      <c r="C8" s="102">
        <f>AVERAGE('Evaluación de riesgos'!J2:J102)</f>
        <v>3.1666666666666665</v>
      </c>
      <c r="D8" s="102">
        <f>AVERAGE('Evaluación de riesgos'!K36:K102)</f>
        <v>2.6</v>
      </c>
      <c r="E8">
        <f>MAX('Evaluación de riesgos'!L36:L102)</f>
        <v>30</v>
      </c>
      <c r="F8" s="75"/>
    </row>
    <row r="9" spans="2:11" ht="27.75" x14ac:dyDescent="0.25">
      <c r="B9" s="76" t="s">
        <v>570</v>
      </c>
      <c r="C9" s="102">
        <f>AVERAGE('Evaluación de riesgos'!O36:O102)</f>
        <v>3</v>
      </c>
      <c r="D9" s="102">
        <f>AVERAGE('Evaluación de riesgos'!P36:P102)</f>
        <v>1.6666666666666667</v>
      </c>
      <c r="E9">
        <f>MAX('Evaluación de riesgos'!Q36:Q102)</f>
        <v>20</v>
      </c>
      <c r="F9" s="76"/>
    </row>
    <row r="10" spans="2:11" ht="27.75" customHeight="1" x14ac:dyDescent="0.25">
      <c r="B10" s="77" t="s">
        <v>127</v>
      </c>
      <c r="C10" s="102">
        <f>AVERAGE('Evaluación de riesgos'!T36:T102)</f>
        <v>1</v>
      </c>
      <c r="D10" s="102">
        <f>AVERAGE('Evaluación de riesgos'!U36:U102)</f>
        <v>0.875</v>
      </c>
      <c r="E10">
        <f>MAX('Evaluación de riesgos'!V36:V102)</f>
        <v>30</v>
      </c>
      <c r="F10" s="77"/>
    </row>
    <row r="11" spans="2:11" ht="27.75" customHeight="1" x14ac:dyDescent="0.25">
      <c r="B11" s="86" t="s">
        <v>128</v>
      </c>
      <c r="C11" s="102">
        <f>+AVERAGE('Evaluación de riesgos'!Z36:Z102)</f>
        <v>1.5294117647058822</v>
      </c>
      <c r="D11" s="102">
        <f>AVERAGE('Evaluación de riesgos'!Z36:Z102)</f>
        <v>1.5294117647058822</v>
      </c>
      <c r="E11">
        <f>MAX('Evaluación de riesgos'!AA36:AA102)</f>
        <v>10</v>
      </c>
      <c r="F11" s="86"/>
    </row>
    <row r="12" spans="2:11" ht="27.75" x14ac:dyDescent="0.25">
      <c r="B12" s="78" t="s">
        <v>129</v>
      </c>
      <c r="C12" s="103">
        <f>AVERAGE('Evaluación de riesgos'!AD36:AD102)</f>
        <v>3.1666666666666665</v>
      </c>
      <c r="D12" s="104">
        <f>AVERAGE('Evaluación de riesgos'!AE36:AE102)</f>
        <v>2.0454545454545454</v>
      </c>
      <c r="E12">
        <f>MAX('Evaluación de riesgos'!AF36:AF102)</f>
        <v>30</v>
      </c>
      <c r="F12" s="78"/>
    </row>
    <row r="13" spans="2:11" ht="27.75" x14ac:dyDescent="0.25">
      <c r="B13" s="85" t="s">
        <v>130</v>
      </c>
      <c r="C13" s="103">
        <f>AVERAGE('Evaluación de riesgos'!AI2:AI102)</f>
        <v>3</v>
      </c>
      <c r="D13" s="104">
        <f>AVERAGE('Evaluación de riesgos'!AJ2:AJ102)</f>
        <v>1.3157894736842106</v>
      </c>
      <c r="E13">
        <f>MAX('Evaluación de riesgos'!AK36:AK102)</f>
        <v>20</v>
      </c>
      <c r="F13" s="85"/>
    </row>
  </sheetData>
  <mergeCells count="1">
    <mergeCell ref="B6:C6"/>
  </mergeCells>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A5867-18A7-4416-91ED-58770066EFA0}">
  <dimension ref="A1"/>
  <sheetViews>
    <sheetView workbookViewId="0">
      <selection activeCell="D9" sqref="D9"/>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8C57B-7600-4644-A2CD-96168AE7A490}">
  <sheetPr codeName="Sheet2"/>
  <dimension ref="A1:I148"/>
  <sheetViews>
    <sheetView zoomScale="90" zoomScaleNormal="90" workbookViewId="0">
      <pane ySplit="1" topLeftCell="A29" activePane="bottomLeft" state="frozen"/>
      <selection pane="bottomLeft" activeCell="C36" sqref="C36"/>
    </sheetView>
  </sheetViews>
  <sheetFormatPr defaultRowHeight="15" x14ac:dyDescent="0.25"/>
  <cols>
    <col min="1" max="1" width="11" customWidth="1"/>
    <col min="2" max="2" width="16.140625" bestFit="1" customWidth="1"/>
    <col min="3" max="3" width="148" customWidth="1"/>
    <col min="4" max="4" width="11.42578125" customWidth="1"/>
    <col min="5" max="5" width="22.140625" customWidth="1"/>
    <col min="6" max="6" width="21" bestFit="1" customWidth="1"/>
    <col min="7" max="7" width="24.28515625" bestFit="1" customWidth="1"/>
    <col min="8" max="8" width="24.28515625" customWidth="1"/>
    <col min="9" max="9" width="91.85546875" bestFit="1" customWidth="1"/>
  </cols>
  <sheetData>
    <row r="1" spans="1:9" x14ac:dyDescent="0.25">
      <c r="A1" s="90" t="s">
        <v>335</v>
      </c>
      <c r="B1" s="90" t="s">
        <v>336</v>
      </c>
      <c r="C1" s="90" t="s">
        <v>9</v>
      </c>
      <c r="D1" s="90" t="s">
        <v>337</v>
      </c>
      <c r="E1" s="90" t="s">
        <v>338</v>
      </c>
      <c r="F1" s="90" t="s">
        <v>339</v>
      </c>
      <c r="G1" s="90" t="s">
        <v>340</v>
      </c>
      <c r="H1" s="90" t="s">
        <v>341</v>
      </c>
      <c r="I1" s="90" t="s">
        <v>342</v>
      </c>
    </row>
    <row r="2" spans="1:9" x14ac:dyDescent="0.25">
      <c r="A2">
        <v>1</v>
      </c>
      <c r="B2" t="s">
        <v>131</v>
      </c>
      <c r="C2" s="91" t="s">
        <v>343</v>
      </c>
      <c r="D2" s="92" t="s">
        <v>344</v>
      </c>
      <c r="E2" t="s">
        <v>345</v>
      </c>
      <c r="I2" t="s">
        <v>346</v>
      </c>
    </row>
    <row r="3" spans="1:9" x14ac:dyDescent="0.25">
      <c r="A3">
        <v>2</v>
      </c>
      <c r="B3" t="s">
        <v>131</v>
      </c>
      <c r="C3" s="91" t="s">
        <v>347</v>
      </c>
      <c r="D3" s="92" t="s">
        <v>344</v>
      </c>
      <c r="E3" t="s">
        <v>345</v>
      </c>
    </row>
    <row r="4" spans="1:9" x14ac:dyDescent="0.25">
      <c r="A4">
        <v>3</v>
      </c>
      <c r="B4" t="s">
        <v>131</v>
      </c>
      <c r="C4" s="91" t="s">
        <v>349</v>
      </c>
      <c r="D4" s="92" t="s">
        <v>344</v>
      </c>
      <c r="E4" t="s">
        <v>134</v>
      </c>
      <c r="I4" t="s">
        <v>350</v>
      </c>
    </row>
    <row r="5" spans="1:9" x14ac:dyDescent="0.25">
      <c r="A5">
        <v>4</v>
      </c>
      <c r="B5" t="s">
        <v>131</v>
      </c>
      <c r="C5" s="91" t="s">
        <v>351</v>
      </c>
      <c r="D5" s="92" t="s">
        <v>352</v>
      </c>
      <c r="E5" t="s">
        <v>345</v>
      </c>
      <c r="I5" t="s">
        <v>353</v>
      </c>
    </row>
    <row r="6" spans="1:9" x14ac:dyDescent="0.25">
      <c r="A6">
        <v>5</v>
      </c>
      <c r="B6" t="s">
        <v>131</v>
      </c>
      <c r="C6" s="91" t="s">
        <v>354</v>
      </c>
      <c r="D6" s="92" t="s">
        <v>355</v>
      </c>
      <c r="E6" t="s">
        <v>345</v>
      </c>
      <c r="I6" t="s">
        <v>348</v>
      </c>
    </row>
    <row r="7" spans="1:9" x14ac:dyDescent="0.25">
      <c r="A7">
        <v>6</v>
      </c>
      <c r="B7" t="s">
        <v>131</v>
      </c>
      <c r="C7" s="91" t="s">
        <v>356</v>
      </c>
      <c r="D7" s="92" t="s">
        <v>355</v>
      </c>
      <c r="E7" t="s">
        <v>345</v>
      </c>
      <c r="I7" t="s">
        <v>350</v>
      </c>
    </row>
    <row r="8" spans="1:9" x14ac:dyDescent="0.25">
      <c r="A8">
        <v>7</v>
      </c>
      <c r="B8" t="s">
        <v>131</v>
      </c>
      <c r="C8" s="91" t="s">
        <v>357</v>
      </c>
      <c r="D8" s="92" t="s">
        <v>358</v>
      </c>
      <c r="E8" t="s">
        <v>345</v>
      </c>
      <c r="F8" t="s">
        <v>359</v>
      </c>
      <c r="I8" t="s">
        <v>348</v>
      </c>
    </row>
    <row r="9" spans="1:9" x14ac:dyDescent="0.25">
      <c r="A9">
        <v>8</v>
      </c>
      <c r="B9" t="s">
        <v>131</v>
      </c>
      <c r="C9" s="91" t="s">
        <v>360</v>
      </c>
      <c r="D9" s="92" t="s">
        <v>361</v>
      </c>
      <c r="E9" t="s">
        <v>345</v>
      </c>
      <c r="I9" t="s">
        <v>362</v>
      </c>
    </row>
    <row r="10" spans="1:9" x14ac:dyDescent="0.25">
      <c r="A10">
        <v>9</v>
      </c>
      <c r="B10" t="s">
        <v>131</v>
      </c>
      <c r="C10" s="91" t="s">
        <v>363</v>
      </c>
      <c r="D10" s="92" t="s">
        <v>364</v>
      </c>
      <c r="E10" t="s">
        <v>345</v>
      </c>
      <c r="F10" t="s">
        <v>365</v>
      </c>
      <c r="I10" t="s">
        <v>366</v>
      </c>
    </row>
    <row r="11" spans="1:9" x14ac:dyDescent="0.25">
      <c r="A11">
        <v>10</v>
      </c>
      <c r="B11" t="s">
        <v>131</v>
      </c>
      <c r="C11" s="91" t="s">
        <v>367</v>
      </c>
      <c r="D11" s="92" t="s">
        <v>368</v>
      </c>
      <c r="E11" t="s">
        <v>345</v>
      </c>
    </row>
    <row r="12" spans="1:9" x14ac:dyDescent="0.25">
      <c r="A12">
        <v>11</v>
      </c>
      <c r="B12" t="s">
        <v>131</v>
      </c>
      <c r="C12" s="91" t="s">
        <v>369</v>
      </c>
      <c r="D12" s="92" t="s">
        <v>370</v>
      </c>
      <c r="E12" t="s">
        <v>345</v>
      </c>
      <c r="F12" t="s">
        <v>365</v>
      </c>
    </row>
    <row r="13" spans="1:9" x14ac:dyDescent="0.25">
      <c r="A13">
        <v>12</v>
      </c>
      <c r="B13" t="s">
        <v>131</v>
      </c>
      <c r="C13" s="91" t="s">
        <v>371</v>
      </c>
      <c r="D13" s="92" t="s">
        <v>372</v>
      </c>
      <c r="E13" t="s">
        <v>373</v>
      </c>
      <c r="F13" t="s">
        <v>365</v>
      </c>
      <c r="G13" t="s">
        <v>374</v>
      </c>
      <c r="I13" t="s">
        <v>375</v>
      </c>
    </row>
    <row r="14" spans="1:9" x14ac:dyDescent="0.25">
      <c r="A14">
        <v>13</v>
      </c>
      <c r="B14" t="s">
        <v>131</v>
      </c>
      <c r="C14" s="91" t="s">
        <v>376</v>
      </c>
      <c r="D14" s="92" t="s">
        <v>377</v>
      </c>
      <c r="E14" t="s">
        <v>373</v>
      </c>
      <c r="F14" t="s">
        <v>365</v>
      </c>
      <c r="G14" t="s">
        <v>374</v>
      </c>
    </row>
    <row r="15" spans="1:9" x14ac:dyDescent="0.25">
      <c r="A15">
        <v>14</v>
      </c>
      <c r="B15" t="s">
        <v>131</v>
      </c>
      <c r="C15" s="91" t="s">
        <v>378</v>
      </c>
      <c r="D15" s="92" t="s">
        <v>379</v>
      </c>
      <c r="E15" t="s">
        <v>373</v>
      </c>
      <c r="F15" t="s">
        <v>365</v>
      </c>
      <c r="G15" t="s">
        <v>380</v>
      </c>
    </row>
    <row r="16" spans="1:9" x14ac:dyDescent="0.25">
      <c r="A16">
        <v>15</v>
      </c>
      <c r="B16" t="s">
        <v>131</v>
      </c>
      <c r="C16" s="91" t="s">
        <v>381</v>
      </c>
      <c r="D16" s="92" t="s">
        <v>379</v>
      </c>
      <c r="E16" t="s">
        <v>373</v>
      </c>
      <c r="F16" t="s">
        <v>365</v>
      </c>
      <c r="G16" t="s">
        <v>380</v>
      </c>
    </row>
    <row r="17" spans="1:9" x14ac:dyDescent="0.25">
      <c r="A17">
        <v>16</v>
      </c>
      <c r="B17" t="s">
        <v>131</v>
      </c>
      <c r="C17" s="91" t="s">
        <v>382</v>
      </c>
      <c r="D17" s="92" t="s">
        <v>383</v>
      </c>
      <c r="E17" t="s">
        <v>373</v>
      </c>
      <c r="F17" t="s">
        <v>365</v>
      </c>
      <c r="G17" t="s">
        <v>384</v>
      </c>
      <c r="I17" t="s">
        <v>385</v>
      </c>
    </row>
    <row r="18" spans="1:9" x14ac:dyDescent="0.25">
      <c r="A18">
        <v>17</v>
      </c>
      <c r="B18" t="s">
        <v>131</v>
      </c>
      <c r="C18" s="91" t="s">
        <v>386</v>
      </c>
      <c r="D18" s="92" t="s">
        <v>387</v>
      </c>
      <c r="E18" t="s">
        <v>345</v>
      </c>
      <c r="F18" t="s">
        <v>365</v>
      </c>
    </row>
    <row r="19" spans="1:9" x14ac:dyDescent="0.25">
      <c r="A19">
        <v>18</v>
      </c>
      <c r="B19" t="s">
        <v>131</v>
      </c>
      <c r="C19" s="91" t="s">
        <v>388</v>
      </c>
      <c r="D19" s="92" t="s">
        <v>387</v>
      </c>
      <c r="E19" t="s">
        <v>345</v>
      </c>
    </row>
    <row r="20" spans="1:9" x14ac:dyDescent="0.25">
      <c r="A20">
        <v>19</v>
      </c>
      <c r="B20" t="s">
        <v>131</v>
      </c>
      <c r="C20" s="93" t="s">
        <v>389</v>
      </c>
      <c r="D20" s="92" t="s">
        <v>387</v>
      </c>
      <c r="E20" t="s">
        <v>345</v>
      </c>
    </row>
    <row r="21" spans="1:9" x14ac:dyDescent="0.25">
      <c r="A21">
        <v>20</v>
      </c>
      <c r="B21" t="s">
        <v>131</v>
      </c>
      <c r="C21" s="91" t="s">
        <v>390</v>
      </c>
      <c r="D21" s="92" t="s">
        <v>387</v>
      </c>
      <c r="E21" t="s">
        <v>345</v>
      </c>
    </row>
    <row r="22" spans="1:9" x14ac:dyDescent="0.25">
      <c r="A22">
        <v>21</v>
      </c>
      <c r="B22" t="s">
        <v>131</v>
      </c>
      <c r="C22" s="91" t="s">
        <v>391</v>
      </c>
      <c r="D22" s="92" t="s">
        <v>387</v>
      </c>
      <c r="E22" t="s">
        <v>345</v>
      </c>
    </row>
    <row r="23" spans="1:9" x14ac:dyDescent="0.25">
      <c r="A23">
        <v>22</v>
      </c>
      <c r="B23" t="s">
        <v>131</v>
      </c>
      <c r="C23" s="91" t="s">
        <v>392</v>
      </c>
      <c r="D23" s="92" t="s">
        <v>387</v>
      </c>
      <c r="E23" t="s">
        <v>345</v>
      </c>
    </row>
    <row r="24" spans="1:9" x14ac:dyDescent="0.25">
      <c r="A24">
        <v>23</v>
      </c>
      <c r="B24" t="s">
        <v>131</v>
      </c>
      <c r="C24" s="91" t="s">
        <v>393</v>
      </c>
      <c r="D24" s="92" t="s">
        <v>387</v>
      </c>
      <c r="E24" t="s">
        <v>345</v>
      </c>
    </row>
    <row r="25" spans="1:9" x14ac:dyDescent="0.25">
      <c r="A25">
        <v>24</v>
      </c>
      <c r="B25" t="s">
        <v>131</v>
      </c>
      <c r="C25" s="91" t="s">
        <v>394</v>
      </c>
      <c r="D25" s="92" t="s">
        <v>387</v>
      </c>
      <c r="E25" t="s">
        <v>345</v>
      </c>
    </row>
    <row r="26" spans="1:9" x14ac:dyDescent="0.25">
      <c r="A26">
        <v>25</v>
      </c>
      <c r="B26" t="s">
        <v>131</v>
      </c>
      <c r="C26" s="91" t="s">
        <v>395</v>
      </c>
      <c r="D26" s="92" t="s">
        <v>387</v>
      </c>
      <c r="E26" t="s">
        <v>345</v>
      </c>
    </row>
    <row r="27" spans="1:9" x14ac:dyDescent="0.25">
      <c r="A27">
        <v>26</v>
      </c>
      <c r="B27" t="s">
        <v>131</v>
      </c>
      <c r="C27" s="94" t="s">
        <v>396</v>
      </c>
      <c r="D27" s="92" t="s">
        <v>387</v>
      </c>
      <c r="E27" t="s">
        <v>345</v>
      </c>
    </row>
    <row r="28" spans="1:9" x14ac:dyDescent="0.25">
      <c r="A28">
        <v>27</v>
      </c>
      <c r="B28" t="s">
        <v>131</v>
      </c>
      <c r="C28" s="91" t="s">
        <v>397</v>
      </c>
      <c r="D28" s="92" t="s">
        <v>387</v>
      </c>
      <c r="E28" t="s">
        <v>345</v>
      </c>
    </row>
    <row r="29" spans="1:9" x14ac:dyDescent="0.25">
      <c r="A29">
        <v>28</v>
      </c>
      <c r="B29" t="s">
        <v>131</v>
      </c>
      <c r="C29" s="93" t="s">
        <v>398</v>
      </c>
      <c r="D29" s="92" t="s">
        <v>387</v>
      </c>
      <c r="E29" t="s">
        <v>345</v>
      </c>
    </row>
    <row r="30" spans="1:9" x14ac:dyDescent="0.25">
      <c r="A30">
        <v>29</v>
      </c>
      <c r="B30" t="s">
        <v>131</v>
      </c>
      <c r="C30" s="93" t="s">
        <v>399</v>
      </c>
      <c r="D30" s="92" t="s">
        <v>387</v>
      </c>
      <c r="E30" t="s">
        <v>345</v>
      </c>
    </row>
    <row r="31" spans="1:9" x14ac:dyDescent="0.25">
      <c r="A31">
        <v>30</v>
      </c>
      <c r="B31" t="s">
        <v>131</v>
      </c>
      <c r="C31" s="93" t="s">
        <v>400</v>
      </c>
      <c r="D31" s="92" t="s">
        <v>387</v>
      </c>
      <c r="E31" t="s">
        <v>345</v>
      </c>
    </row>
    <row r="32" spans="1:9" x14ac:dyDescent="0.25">
      <c r="A32">
        <v>31</v>
      </c>
      <c r="B32" t="s">
        <v>131</v>
      </c>
      <c r="C32" s="93" t="s">
        <v>401</v>
      </c>
      <c r="D32" s="92" t="s">
        <v>387</v>
      </c>
      <c r="E32" t="s">
        <v>345</v>
      </c>
    </row>
    <row r="33" spans="1:6" x14ac:dyDescent="0.25">
      <c r="A33">
        <v>32</v>
      </c>
      <c r="B33" t="s">
        <v>132</v>
      </c>
      <c r="C33" s="91" t="s">
        <v>402</v>
      </c>
      <c r="D33" s="92" t="s">
        <v>403</v>
      </c>
      <c r="E33" t="s">
        <v>404</v>
      </c>
      <c r="F33" t="s">
        <v>405</v>
      </c>
    </row>
    <row r="34" spans="1:6" x14ac:dyDescent="0.25">
      <c r="A34">
        <v>33</v>
      </c>
      <c r="B34" t="s">
        <v>132</v>
      </c>
      <c r="C34" s="91" t="s">
        <v>406</v>
      </c>
      <c r="D34" s="92" t="s">
        <v>407</v>
      </c>
      <c r="E34" t="s">
        <v>404</v>
      </c>
      <c r="F34" t="s">
        <v>405</v>
      </c>
    </row>
    <row r="35" spans="1:6" x14ac:dyDescent="0.25">
      <c r="A35">
        <v>34</v>
      </c>
      <c r="B35" t="s">
        <v>132</v>
      </c>
      <c r="C35" s="91" t="s">
        <v>408</v>
      </c>
      <c r="D35" s="92" t="s">
        <v>387</v>
      </c>
      <c r="E35" t="s">
        <v>404</v>
      </c>
    </row>
    <row r="36" spans="1:6" x14ac:dyDescent="0.25">
      <c r="A36">
        <v>35</v>
      </c>
      <c r="B36" t="s">
        <v>132</v>
      </c>
      <c r="C36" s="91" t="s">
        <v>409</v>
      </c>
      <c r="D36" s="92" t="s">
        <v>387</v>
      </c>
      <c r="E36" t="s">
        <v>404</v>
      </c>
    </row>
    <row r="37" spans="1:6" x14ac:dyDescent="0.25">
      <c r="A37">
        <v>36</v>
      </c>
      <c r="B37" t="s">
        <v>132</v>
      </c>
      <c r="C37" s="91" t="s">
        <v>410</v>
      </c>
      <c r="D37" s="92" t="s">
        <v>387</v>
      </c>
      <c r="E37" t="s">
        <v>404</v>
      </c>
    </row>
    <row r="38" spans="1:6" x14ac:dyDescent="0.25">
      <c r="A38">
        <v>37</v>
      </c>
      <c r="B38" t="s">
        <v>132</v>
      </c>
      <c r="C38" s="91" t="s">
        <v>411</v>
      </c>
      <c r="D38" s="92" t="s">
        <v>387</v>
      </c>
      <c r="E38" t="s">
        <v>404</v>
      </c>
    </row>
    <row r="39" spans="1:6" x14ac:dyDescent="0.25">
      <c r="A39">
        <v>38</v>
      </c>
      <c r="B39" t="s">
        <v>132</v>
      </c>
      <c r="C39" s="93" t="s">
        <v>412</v>
      </c>
      <c r="D39" s="92" t="s">
        <v>387</v>
      </c>
      <c r="E39" t="s">
        <v>404</v>
      </c>
    </row>
    <row r="40" spans="1:6" x14ac:dyDescent="0.25">
      <c r="A40">
        <v>39</v>
      </c>
      <c r="B40" t="s">
        <v>132</v>
      </c>
      <c r="C40" s="91" t="s">
        <v>413</v>
      </c>
      <c r="D40" s="92" t="s">
        <v>387</v>
      </c>
      <c r="E40" t="s">
        <v>404</v>
      </c>
    </row>
    <row r="41" spans="1:6" x14ac:dyDescent="0.25">
      <c r="A41">
        <v>40</v>
      </c>
      <c r="B41" t="s">
        <v>132</v>
      </c>
      <c r="C41" s="91" t="s">
        <v>414</v>
      </c>
      <c r="D41" s="92" t="s">
        <v>387</v>
      </c>
      <c r="E41" t="s">
        <v>404</v>
      </c>
    </row>
    <row r="42" spans="1:6" x14ac:dyDescent="0.25">
      <c r="A42">
        <v>41</v>
      </c>
      <c r="B42" t="s">
        <v>132</v>
      </c>
      <c r="C42" s="91" t="s">
        <v>415</v>
      </c>
      <c r="D42" s="92" t="s">
        <v>416</v>
      </c>
      <c r="E42" t="s">
        <v>404</v>
      </c>
    </row>
    <row r="43" spans="1:6" x14ac:dyDescent="0.25">
      <c r="A43">
        <v>42</v>
      </c>
      <c r="B43" t="s">
        <v>132</v>
      </c>
      <c r="C43" s="91" t="s">
        <v>417</v>
      </c>
      <c r="D43" s="92" t="s">
        <v>416</v>
      </c>
      <c r="E43" t="s">
        <v>404</v>
      </c>
    </row>
    <row r="44" spans="1:6" x14ac:dyDescent="0.25">
      <c r="A44">
        <v>43</v>
      </c>
      <c r="B44" t="s">
        <v>132</v>
      </c>
      <c r="C44" s="91" t="s">
        <v>418</v>
      </c>
      <c r="D44" s="92" t="s">
        <v>416</v>
      </c>
      <c r="E44" t="s">
        <v>404</v>
      </c>
    </row>
    <row r="45" spans="1:6" x14ac:dyDescent="0.25">
      <c r="A45">
        <v>44</v>
      </c>
      <c r="B45" t="s">
        <v>132</v>
      </c>
      <c r="C45" s="93" t="s">
        <v>419</v>
      </c>
      <c r="D45" s="92" t="s">
        <v>387</v>
      </c>
      <c r="E45" t="s">
        <v>404</v>
      </c>
    </row>
    <row r="46" spans="1:6" x14ac:dyDescent="0.25">
      <c r="A46">
        <v>45</v>
      </c>
      <c r="B46" t="s">
        <v>132</v>
      </c>
      <c r="C46" s="91" t="s">
        <v>420</v>
      </c>
      <c r="D46" s="92" t="s">
        <v>421</v>
      </c>
      <c r="E46" t="s">
        <v>404</v>
      </c>
    </row>
    <row r="47" spans="1:6" x14ac:dyDescent="0.25">
      <c r="A47">
        <v>46</v>
      </c>
      <c r="B47" t="s">
        <v>132</v>
      </c>
      <c r="C47" s="93" t="s">
        <v>422</v>
      </c>
      <c r="D47" s="92" t="s">
        <v>387</v>
      </c>
      <c r="E47" t="s">
        <v>404</v>
      </c>
    </row>
    <row r="48" spans="1:6" x14ac:dyDescent="0.25">
      <c r="A48">
        <v>47</v>
      </c>
      <c r="B48" t="s">
        <v>132</v>
      </c>
      <c r="C48" s="93" t="s">
        <v>423</v>
      </c>
      <c r="D48" s="92" t="s">
        <v>387</v>
      </c>
      <c r="E48" t="s">
        <v>404</v>
      </c>
    </row>
    <row r="49" spans="1:9" x14ac:dyDescent="0.25">
      <c r="A49">
        <v>48</v>
      </c>
      <c r="B49" t="s">
        <v>132</v>
      </c>
      <c r="C49" s="93" t="s">
        <v>424</v>
      </c>
      <c r="D49" s="92" t="s">
        <v>387</v>
      </c>
      <c r="E49" t="s">
        <v>404</v>
      </c>
    </row>
    <row r="50" spans="1:9" x14ac:dyDescent="0.25">
      <c r="A50">
        <v>49</v>
      </c>
      <c r="B50" t="s">
        <v>132</v>
      </c>
      <c r="C50" s="93" t="s">
        <v>425</v>
      </c>
      <c r="D50" s="92" t="s">
        <v>387</v>
      </c>
      <c r="E50" t="s">
        <v>404</v>
      </c>
    </row>
    <row r="51" spans="1:9" x14ac:dyDescent="0.25">
      <c r="A51">
        <v>50</v>
      </c>
      <c r="B51" t="s">
        <v>132</v>
      </c>
      <c r="C51" s="93" t="s">
        <v>426</v>
      </c>
      <c r="D51" s="92" t="s">
        <v>387</v>
      </c>
      <c r="E51" t="s">
        <v>404</v>
      </c>
    </row>
    <row r="52" spans="1:9" x14ac:dyDescent="0.25">
      <c r="A52">
        <v>51</v>
      </c>
      <c r="B52" t="s">
        <v>132</v>
      </c>
      <c r="C52" s="93" t="s">
        <v>427</v>
      </c>
      <c r="D52" s="92" t="s">
        <v>387</v>
      </c>
      <c r="E52" t="s">
        <v>404</v>
      </c>
    </row>
    <row r="53" spans="1:9" x14ac:dyDescent="0.25">
      <c r="A53">
        <v>52</v>
      </c>
      <c r="B53" t="s">
        <v>428</v>
      </c>
      <c r="C53" s="91" t="s">
        <v>429</v>
      </c>
      <c r="D53" s="92" t="s">
        <v>430</v>
      </c>
      <c r="E53" t="s">
        <v>431</v>
      </c>
      <c r="F53" t="s">
        <v>432</v>
      </c>
    </row>
    <row r="54" spans="1:9" x14ac:dyDescent="0.25">
      <c r="A54">
        <v>53</v>
      </c>
      <c r="B54" t="s">
        <v>428</v>
      </c>
      <c r="C54" s="91" t="s">
        <v>433</v>
      </c>
      <c r="D54" s="92" t="s">
        <v>430</v>
      </c>
      <c r="E54" t="s">
        <v>431</v>
      </c>
      <c r="F54" t="s">
        <v>432</v>
      </c>
    </row>
    <row r="55" spans="1:9" x14ac:dyDescent="0.25">
      <c r="A55">
        <v>54</v>
      </c>
      <c r="B55" t="s">
        <v>428</v>
      </c>
      <c r="C55" s="91" t="s">
        <v>434</v>
      </c>
      <c r="D55" s="92" t="s">
        <v>435</v>
      </c>
      <c r="E55" t="s">
        <v>431</v>
      </c>
      <c r="F55" t="s">
        <v>432</v>
      </c>
      <c r="I55" t="s">
        <v>436</v>
      </c>
    </row>
    <row r="56" spans="1:9" x14ac:dyDescent="0.25">
      <c r="A56">
        <v>55</v>
      </c>
      <c r="B56" t="s">
        <v>428</v>
      </c>
      <c r="C56" s="91" t="s">
        <v>437</v>
      </c>
      <c r="D56" s="92" t="s">
        <v>438</v>
      </c>
      <c r="E56" t="s">
        <v>431</v>
      </c>
      <c r="F56" t="s">
        <v>432</v>
      </c>
    </row>
    <row r="57" spans="1:9" x14ac:dyDescent="0.25">
      <c r="A57">
        <v>56</v>
      </c>
      <c r="B57" t="s">
        <v>428</v>
      </c>
      <c r="C57" s="91" t="s">
        <v>439</v>
      </c>
      <c r="D57" s="92" t="s">
        <v>440</v>
      </c>
      <c r="E57" t="s">
        <v>431</v>
      </c>
      <c r="F57" t="s">
        <v>432</v>
      </c>
    </row>
    <row r="58" spans="1:9" x14ac:dyDescent="0.25">
      <c r="A58">
        <v>57</v>
      </c>
      <c r="B58" t="s">
        <v>428</v>
      </c>
      <c r="C58" s="91" t="s">
        <v>441</v>
      </c>
      <c r="D58" s="92" t="s">
        <v>442</v>
      </c>
      <c r="E58" t="s">
        <v>431</v>
      </c>
      <c r="F58" t="s">
        <v>432</v>
      </c>
      <c r="I58" t="s">
        <v>443</v>
      </c>
    </row>
    <row r="59" spans="1:9" x14ac:dyDescent="0.25">
      <c r="A59">
        <v>58</v>
      </c>
      <c r="B59" t="s">
        <v>428</v>
      </c>
      <c r="C59" s="91" t="s">
        <v>444</v>
      </c>
      <c r="D59" s="92" t="s">
        <v>445</v>
      </c>
      <c r="E59" t="s">
        <v>431</v>
      </c>
      <c r="F59" t="s">
        <v>432</v>
      </c>
      <c r="G59" t="s">
        <v>380</v>
      </c>
    </row>
    <row r="60" spans="1:9" x14ac:dyDescent="0.25">
      <c r="A60">
        <v>59</v>
      </c>
      <c r="B60" t="s">
        <v>428</v>
      </c>
      <c r="C60" s="91" t="s">
        <v>446</v>
      </c>
      <c r="D60" s="92" t="s">
        <v>387</v>
      </c>
      <c r="E60" t="s">
        <v>431</v>
      </c>
    </row>
    <row r="61" spans="1:9" x14ac:dyDescent="0.25">
      <c r="A61">
        <v>60</v>
      </c>
      <c r="B61" t="s">
        <v>428</v>
      </c>
      <c r="C61" s="91" t="s">
        <v>447</v>
      </c>
      <c r="D61" s="92" t="s">
        <v>387</v>
      </c>
      <c r="E61" t="s">
        <v>431</v>
      </c>
    </row>
    <row r="62" spans="1:9" x14ac:dyDescent="0.25">
      <c r="A62">
        <v>61</v>
      </c>
      <c r="B62" t="s">
        <v>428</v>
      </c>
      <c r="C62" s="91" t="s">
        <v>448</v>
      </c>
      <c r="D62" s="92" t="s">
        <v>387</v>
      </c>
      <c r="E62" t="s">
        <v>431</v>
      </c>
    </row>
    <row r="63" spans="1:9" x14ac:dyDescent="0.25">
      <c r="A63">
        <v>62</v>
      </c>
      <c r="B63" t="s">
        <v>428</v>
      </c>
      <c r="C63" s="91" t="s">
        <v>449</v>
      </c>
      <c r="D63" s="92" t="s">
        <v>387</v>
      </c>
      <c r="E63" t="s">
        <v>431</v>
      </c>
    </row>
    <row r="64" spans="1:9" x14ac:dyDescent="0.25">
      <c r="A64">
        <v>63</v>
      </c>
      <c r="B64" t="s">
        <v>428</v>
      </c>
      <c r="C64" s="91" t="s">
        <v>450</v>
      </c>
      <c r="D64" s="92" t="s">
        <v>387</v>
      </c>
      <c r="E64" t="s">
        <v>431</v>
      </c>
    </row>
    <row r="65" spans="1:9" x14ac:dyDescent="0.25">
      <c r="A65">
        <v>64</v>
      </c>
      <c r="B65" t="s">
        <v>428</v>
      </c>
      <c r="C65" s="93" t="s">
        <v>451</v>
      </c>
      <c r="D65" s="92" t="s">
        <v>387</v>
      </c>
      <c r="E65" t="s">
        <v>431</v>
      </c>
    </row>
    <row r="66" spans="1:9" x14ac:dyDescent="0.25">
      <c r="A66">
        <v>65</v>
      </c>
      <c r="B66" t="s">
        <v>428</v>
      </c>
      <c r="C66" s="91" t="s">
        <v>452</v>
      </c>
      <c r="D66" s="92" t="s">
        <v>387</v>
      </c>
      <c r="E66" t="s">
        <v>431</v>
      </c>
    </row>
    <row r="67" spans="1:9" x14ac:dyDescent="0.25">
      <c r="A67">
        <v>66</v>
      </c>
      <c r="B67" t="s">
        <v>428</v>
      </c>
      <c r="C67" s="91" t="s">
        <v>453</v>
      </c>
      <c r="D67" s="92" t="s">
        <v>387</v>
      </c>
      <c r="E67" t="s">
        <v>431</v>
      </c>
    </row>
    <row r="68" spans="1:9" x14ac:dyDescent="0.25">
      <c r="A68">
        <v>67</v>
      </c>
      <c r="B68" t="s">
        <v>428</v>
      </c>
      <c r="C68" s="91" t="s">
        <v>454</v>
      </c>
      <c r="D68" s="92" t="s">
        <v>387</v>
      </c>
      <c r="E68" t="s">
        <v>431</v>
      </c>
    </row>
    <row r="69" spans="1:9" x14ac:dyDescent="0.25">
      <c r="A69">
        <v>68</v>
      </c>
      <c r="B69" t="s">
        <v>133</v>
      </c>
      <c r="C69" s="91" t="s">
        <v>455</v>
      </c>
      <c r="D69" s="92" t="s">
        <v>456</v>
      </c>
      <c r="E69" t="s">
        <v>457</v>
      </c>
      <c r="F69" t="s">
        <v>432</v>
      </c>
      <c r="G69" t="s">
        <v>380</v>
      </c>
      <c r="I69" t="s">
        <v>458</v>
      </c>
    </row>
    <row r="70" spans="1:9" x14ac:dyDescent="0.25">
      <c r="A70">
        <v>69</v>
      </c>
      <c r="B70" t="s">
        <v>133</v>
      </c>
      <c r="C70" s="91" t="s">
        <v>459</v>
      </c>
      <c r="D70" s="92" t="s">
        <v>460</v>
      </c>
      <c r="E70" t="s">
        <v>457</v>
      </c>
      <c r="F70" t="s">
        <v>432</v>
      </c>
      <c r="G70" t="s">
        <v>380</v>
      </c>
    </row>
    <row r="71" spans="1:9" x14ac:dyDescent="0.25">
      <c r="A71">
        <v>70</v>
      </c>
      <c r="B71" t="s">
        <v>133</v>
      </c>
      <c r="C71" s="91" t="s">
        <v>461</v>
      </c>
      <c r="D71" s="92" t="s">
        <v>462</v>
      </c>
      <c r="E71" t="s">
        <v>457</v>
      </c>
      <c r="F71" t="s">
        <v>432</v>
      </c>
      <c r="G71" t="s">
        <v>380</v>
      </c>
    </row>
    <row r="72" spans="1:9" x14ac:dyDescent="0.25">
      <c r="A72">
        <v>71</v>
      </c>
      <c r="B72" t="s">
        <v>133</v>
      </c>
      <c r="C72" s="91" t="s">
        <v>463</v>
      </c>
      <c r="D72" s="92" t="s">
        <v>464</v>
      </c>
      <c r="E72" t="s">
        <v>457</v>
      </c>
      <c r="F72" t="s">
        <v>432</v>
      </c>
      <c r="G72" t="s">
        <v>374</v>
      </c>
    </row>
    <row r="73" spans="1:9" x14ac:dyDescent="0.25">
      <c r="A73">
        <v>72</v>
      </c>
      <c r="B73" t="s">
        <v>133</v>
      </c>
      <c r="C73" s="91" t="s">
        <v>465</v>
      </c>
      <c r="D73" s="92" t="s">
        <v>464</v>
      </c>
      <c r="E73" t="s">
        <v>457</v>
      </c>
      <c r="F73" t="s">
        <v>432</v>
      </c>
      <c r="G73" t="s">
        <v>374</v>
      </c>
    </row>
    <row r="74" spans="1:9" x14ac:dyDescent="0.25">
      <c r="A74">
        <v>73</v>
      </c>
      <c r="B74" t="s">
        <v>133</v>
      </c>
      <c r="C74" s="91" t="s">
        <v>466</v>
      </c>
      <c r="D74" s="92" t="s">
        <v>467</v>
      </c>
      <c r="E74" t="s">
        <v>457</v>
      </c>
      <c r="F74" t="s">
        <v>432</v>
      </c>
      <c r="G74" t="s">
        <v>374</v>
      </c>
      <c r="I74" t="s">
        <v>468</v>
      </c>
    </row>
    <row r="75" spans="1:9" x14ac:dyDescent="0.25">
      <c r="A75">
        <v>74</v>
      </c>
      <c r="B75" t="s">
        <v>133</v>
      </c>
      <c r="C75" s="91" t="s">
        <v>469</v>
      </c>
      <c r="D75" s="92" t="s">
        <v>470</v>
      </c>
      <c r="E75" t="s">
        <v>457</v>
      </c>
      <c r="F75" t="s">
        <v>432</v>
      </c>
      <c r="G75" t="s">
        <v>384</v>
      </c>
    </row>
    <row r="76" spans="1:9" x14ac:dyDescent="0.25">
      <c r="A76">
        <v>75</v>
      </c>
      <c r="B76" t="s">
        <v>133</v>
      </c>
      <c r="C76" s="91" t="s">
        <v>471</v>
      </c>
      <c r="D76" s="95" t="s">
        <v>472</v>
      </c>
      <c r="E76" t="s">
        <v>457</v>
      </c>
      <c r="F76" t="s">
        <v>432</v>
      </c>
      <c r="G76" t="s">
        <v>473</v>
      </c>
    </row>
    <row r="77" spans="1:9" x14ac:dyDescent="0.25">
      <c r="A77">
        <v>76</v>
      </c>
      <c r="B77" t="s">
        <v>133</v>
      </c>
      <c r="C77" s="91" t="s">
        <v>474</v>
      </c>
      <c r="D77" s="92" t="s">
        <v>475</v>
      </c>
      <c r="E77" t="s">
        <v>457</v>
      </c>
      <c r="F77" t="s">
        <v>432</v>
      </c>
      <c r="G77" t="s">
        <v>476</v>
      </c>
    </row>
    <row r="78" spans="1:9" x14ac:dyDescent="0.25">
      <c r="A78">
        <v>77</v>
      </c>
      <c r="B78" t="s">
        <v>133</v>
      </c>
      <c r="C78" s="91" t="s">
        <v>477</v>
      </c>
      <c r="D78" s="92" t="s">
        <v>416</v>
      </c>
      <c r="E78" t="s">
        <v>457</v>
      </c>
    </row>
    <row r="79" spans="1:9" x14ac:dyDescent="0.25">
      <c r="A79">
        <v>78</v>
      </c>
      <c r="B79" t="s">
        <v>133</v>
      </c>
      <c r="C79" s="91" t="s">
        <v>478</v>
      </c>
      <c r="D79" s="92" t="s">
        <v>416</v>
      </c>
      <c r="E79" t="s">
        <v>457</v>
      </c>
    </row>
    <row r="80" spans="1:9" x14ac:dyDescent="0.25">
      <c r="A80">
        <v>79</v>
      </c>
      <c r="B80" t="s">
        <v>133</v>
      </c>
      <c r="C80" s="91" t="s">
        <v>479</v>
      </c>
      <c r="D80" s="92" t="s">
        <v>416</v>
      </c>
      <c r="E80" t="s">
        <v>457</v>
      </c>
    </row>
    <row r="81" spans="1:5" x14ac:dyDescent="0.25">
      <c r="A81">
        <v>80</v>
      </c>
      <c r="B81" t="s">
        <v>133</v>
      </c>
      <c r="C81" s="91" t="s">
        <v>480</v>
      </c>
      <c r="D81" s="92" t="s">
        <v>416</v>
      </c>
      <c r="E81" t="s">
        <v>457</v>
      </c>
    </row>
    <row r="82" spans="1:5" x14ac:dyDescent="0.25">
      <c r="A82">
        <v>81</v>
      </c>
      <c r="B82" t="s">
        <v>133</v>
      </c>
      <c r="C82" s="91" t="s">
        <v>481</v>
      </c>
      <c r="D82" s="92" t="s">
        <v>416</v>
      </c>
      <c r="E82" t="s">
        <v>457</v>
      </c>
    </row>
    <row r="83" spans="1:5" x14ac:dyDescent="0.25">
      <c r="A83">
        <v>82</v>
      </c>
      <c r="B83" t="s">
        <v>133</v>
      </c>
      <c r="C83" s="91" t="s">
        <v>482</v>
      </c>
      <c r="D83" s="92" t="s">
        <v>416</v>
      </c>
      <c r="E83" t="s">
        <v>457</v>
      </c>
    </row>
    <row r="84" spans="1:5" x14ac:dyDescent="0.25">
      <c r="A84">
        <v>83</v>
      </c>
      <c r="B84" t="s">
        <v>133</v>
      </c>
      <c r="C84" s="91" t="s">
        <v>483</v>
      </c>
      <c r="D84" s="92" t="s">
        <v>416</v>
      </c>
      <c r="E84" t="s">
        <v>457</v>
      </c>
    </row>
    <row r="85" spans="1:5" x14ac:dyDescent="0.25">
      <c r="A85">
        <v>84</v>
      </c>
      <c r="B85" t="s">
        <v>133</v>
      </c>
      <c r="C85" s="91" t="s">
        <v>484</v>
      </c>
      <c r="D85" s="92" t="s">
        <v>416</v>
      </c>
      <c r="E85" t="s">
        <v>457</v>
      </c>
    </row>
    <row r="86" spans="1:5" x14ac:dyDescent="0.25">
      <c r="A86">
        <v>85</v>
      </c>
      <c r="B86" t="s">
        <v>133</v>
      </c>
      <c r="C86" s="91" t="s">
        <v>479</v>
      </c>
      <c r="D86" s="92" t="s">
        <v>416</v>
      </c>
      <c r="E86" t="s">
        <v>457</v>
      </c>
    </row>
    <row r="87" spans="1:5" x14ac:dyDescent="0.25">
      <c r="A87">
        <v>86</v>
      </c>
      <c r="B87" t="s">
        <v>133</v>
      </c>
      <c r="C87" s="91" t="s">
        <v>485</v>
      </c>
      <c r="D87" s="92" t="s">
        <v>416</v>
      </c>
      <c r="E87" t="s">
        <v>457</v>
      </c>
    </row>
    <row r="88" spans="1:5" x14ac:dyDescent="0.25">
      <c r="A88">
        <v>87</v>
      </c>
      <c r="B88" t="s">
        <v>133</v>
      </c>
      <c r="C88" s="91" t="s">
        <v>486</v>
      </c>
      <c r="D88" s="92" t="s">
        <v>416</v>
      </c>
      <c r="E88" t="s">
        <v>457</v>
      </c>
    </row>
    <row r="89" spans="1:5" x14ac:dyDescent="0.25">
      <c r="A89">
        <v>88</v>
      </c>
      <c r="B89" t="s">
        <v>133</v>
      </c>
      <c r="C89" s="91" t="s">
        <v>487</v>
      </c>
      <c r="D89" s="92" t="s">
        <v>387</v>
      </c>
      <c r="E89" t="s">
        <v>488</v>
      </c>
    </row>
    <row r="90" spans="1:5" x14ac:dyDescent="0.25">
      <c r="A90">
        <v>89</v>
      </c>
      <c r="B90" t="s">
        <v>134</v>
      </c>
      <c r="C90" s="91" t="s">
        <v>489</v>
      </c>
      <c r="D90" s="92" t="s">
        <v>490</v>
      </c>
      <c r="E90" t="s">
        <v>134</v>
      </c>
    </row>
    <row r="91" spans="1:5" x14ac:dyDescent="0.25">
      <c r="A91">
        <v>90</v>
      </c>
      <c r="B91" t="s">
        <v>134</v>
      </c>
      <c r="C91" s="91" t="s">
        <v>491</v>
      </c>
      <c r="D91" s="92" t="s">
        <v>490</v>
      </c>
    </row>
    <row r="92" spans="1:5" x14ac:dyDescent="0.25">
      <c r="A92">
        <v>91</v>
      </c>
      <c r="B92" t="s">
        <v>134</v>
      </c>
      <c r="C92" s="91" t="s">
        <v>492</v>
      </c>
      <c r="D92" s="92" t="s">
        <v>493</v>
      </c>
    </row>
    <row r="93" spans="1:5" x14ac:dyDescent="0.25">
      <c r="A93">
        <v>92</v>
      </c>
      <c r="B93" t="s">
        <v>134</v>
      </c>
      <c r="C93" s="91" t="s">
        <v>494</v>
      </c>
      <c r="D93" s="92" t="s">
        <v>495</v>
      </c>
    </row>
    <row r="94" spans="1:5" x14ac:dyDescent="0.25">
      <c r="A94">
        <v>93</v>
      </c>
      <c r="B94" t="s">
        <v>134</v>
      </c>
      <c r="C94" s="91" t="s">
        <v>496</v>
      </c>
      <c r="D94" s="92" t="s">
        <v>497</v>
      </c>
    </row>
    <row r="95" spans="1:5" x14ac:dyDescent="0.25">
      <c r="A95">
        <v>94</v>
      </c>
      <c r="B95" t="s">
        <v>134</v>
      </c>
      <c r="C95" s="91" t="s">
        <v>498</v>
      </c>
      <c r="D95" s="92" t="s">
        <v>499</v>
      </c>
    </row>
    <row r="96" spans="1:5" x14ac:dyDescent="0.25">
      <c r="A96">
        <v>95</v>
      </c>
      <c r="B96" t="s">
        <v>134</v>
      </c>
      <c r="C96" s="91" t="s">
        <v>500</v>
      </c>
      <c r="D96" s="92" t="s">
        <v>501</v>
      </c>
    </row>
    <row r="97" spans="1:7" x14ac:dyDescent="0.25">
      <c r="A97">
        <v>96</v>
      </c>
      <c r="B97" t="s">
        <v>134</v>
      </c>
      <c r="C97" s="91" t="s">
        <v>502</v>
      </c>
      <c r="D97" s="92" t="s">
        <v>501</v>
      </c>
    </row>
    <row r="98" spans="1:7" x14ac:dyDescent="0.25">
      <c r="A98">
        <v>97</v>
      </c>
      <c r="B98" t="s">
        <v>134</v>
      </c>
      <c r="C98" s="93" t="s">
        <v>503</v>
      </c>
      <c r="D98" s="92" t="s">
        <v>504</v>
      </c>
      <c r="G98" t="s">
        <v>374</v>
      </c>
    </row>
    <row r="99" spans="1:7" x14ac:dyDescent="0.25">
      <c r="A99">
        <v>98</v>
      </c>
      <c r="B99" t="s">
        <v>134</v>
      </c>
      <c r="C99" s="91" t="s">
        <v>505</v>
      </c>
      <c r="D99" s="92" t="s">
        <v>504</v>
      </c>
      <c r="G99" t="s">
        <v>374</v>
      </c>
    </row>
    <row r="100" spans="1:7" x14ac:dyDescent="0.25">
      <c r="A100">
        <v>99</v>
      </c>
      <c r="B100" t="s">
        <v>134</v>
      </c>
      <c r="C100" s="91" t="s">
        <v>506</v>
      </c>
      <c r="D100" s="92" t="s">
        <v>504</v>
      </c>
      <c r="G100" t="s">
        <v>374</v>
      </c>
    </row>
    <row r="101" spans="1:7" x14ac:dyDescent="0.25">
      <c r="A101">
        <v>100</v>
      </c>
      <c r="B101" t="s">
        <v>134</v>
      </c>
      <c r="C101" s="91" t="s">
        <v>507</v>
      </c>
      <c r="D101" s="92" t="s">
        <v>508</v>
      </c>
      <c r="G101" t="s">
        <v>374</v>
      </c>
    </row>
    <row r="102" spans="1:7" x14ac:dyDescent="0.25">
      <c r="A102">
        <v>101</v>
      </c>
      <c r="B102" t="s">
        <v>134</v>
      </c>
      <c r="C102" s="91" t="s">
        <v>509</v>
      </c>
      <c r="D102" s="92" t="s">
        <v>508</v>
      </c>
      <c r="G102" t="s">
        <v>374</v>
      </c>
    </row>
    <row r="103" spans="1:7" x14ac:dyDescent="0.25">
      <c r="A103">
        <v>102</v>
      </c>
      <c r="B103" t="s">
        <v>134</v>
      </c>
      <c r="C103" s="91" t="s">
        <v>510</v>
      </c>
      <c r="D103" s="92" t="s">
        <v>511</v>
      </c>
      <c r="G103" t="s">
        <v>374</v>
      </c>
    </row>
    <row r="104" spans="1:7" x14ac:dyDescent="0.25">
      <c r="A104">
        <v>103</v>
      </c>
      <c r="B104" t="s">
        <v>134</v>
      </c>
      <c r="C104" s="91" t="s">
        <v>512</v>
      </c>
      <c r="D104" s="92" t="s">
        <v>513</v>
      </c>
      <c r="G104" t="s">
        <v>374</v>
      </c>
    </row>
    <row r="105" spans="1:7" x14ac:dyDescent="0.25">
      <c r="A105">
        <v>104</v>
      </c>
      <c r="B105" t="s">
        <v>134</v>
      </c>
      <c r="C105" s="91" t="s">
        <v>514</v>
      </c>
      <c r="G105" t="s">
        <v>380</v>
      </c>
    </row>
    <row r="106" spans="1:7" x14ac:dyDescent="0.25">
      <c r="A106">
        <v>105</v>
      </c>
      <c r="B106" t="s">
        <v>134</v>
      </c>
      <c r="C106" s="91" t="s">
        <v>515</v>
      </c>
      <c r="D106" s="92" t="s">
        <v>516</v>
      </c>
      <c r="G106" t="s">
        <v>380</v>
      </c>
    </row>
    <row r="107" spans="1:7" x14ac:dyDescent="0.25">
      <c r="A107">
        <v>106</v>
      </c>
      <c r="B107" t="s">
        <v>134</v>
      </c>
      <c r="C107" s="91" t="s">
        <v>517</v>
      </c>
      <c r="D107" s="92" t="s">
        <v>518</v>
      </c>
      <c r="G107" t="s">
        <v>380</v>
      </c>
    </row>
    <row r="108" spans="1:7" x14ac:dyDescent="0.25">
      <c r="A108">
        <v>107</v>
      </c>
      <c r="B108" t="s">
        <v>134</v>
      </c>
      <c r="C108" s="91" t="s">
        <v>519</v>
      </c>
      <c r="D108" s="92" t="s">
        <v>518</v>
      </c>
      <c r="G108" t="s">
        <v>380</v>
      </c>
    </row>
    <row r="109" spans="1:7" x14ac:dyDescent="0.25">
      <c r="A109">
        <v>108</v>
      </c>
      <c r="B109" t="s">
        <v>134</v>
      </c>
      <c r="C109" s="91" t="s">
        <v>520</v>
      </c>
      <c r="D109" s="92" t="s">
        <v>521</v>
      </c>
      <c r="G109" t="s">
        <v>473</v>
      </c>
    </row>
    <row r="110" spans="1:7" x14ac:dyDescent="0.25">
      <c r="A110">
        <v>109</v>
      </c>
      <c r="B110" t="s">
        <v>134</v>
      </c>
      <c r="C110" s="91" t="s">
        <v>522</v>
      </c>
      <c r="D110" s="92" t="s">
        <v>521</v>
      </c>
      <c r="G110" t="s">
        <v>473</v>
      </c>
    </row>
    <row r="111" spans="1:7" x14ac:dyDescent="0.25">
      <c r="A111">
        <v>110</v>
      </c>
      <c r="B111" t="s">
        <v>134</v>
      </c>
      <c r="C111" s="91" t="s">
        <v>523</v>
      </c>
      <c r="D111" s="92" t="s">
        <v>524</v>
      </c>
      <c r="G111" t="s">
        <v>476</v>
      </c>
    </row>
    <row r="112" spans="1:7" x14ac:dyDescent="0.25">
      <c r="A112">
        <v>111</v>
      </c>
      <c r="B112" t="s">
        <v>134</v>
      </c>
      <c r="C112" s="91" t="s">
        <v>525</v>
      </c>
      <c r="D112" s="92" t="s">
        <v>475</v>
      </c>
      <c r="G112" t="s">
        <v>476</v>
      </c>
    </row>
    <row r="113" spans="1:7" x14ac:dyDescent="0.25">
      <c r="A113">
        <v>112</v>
      </c>
      <c r="B113" t="s">
        <v>134</v>
      </c>
      <c r="C113" s="91" t="s">
        <v>526</v>
      </c>
      <c r="D113" s="92" t="s">
        <v>527</v>
      </c>
      <c r="G113" t="s">
        <v>476</v>
      </c>
    </row>
    <row r="114" spans="1:7" x14ac:dyDescent="0.25">
      <c r="A114">
        <v>113</v>
      </c>
      <c r="B114" t="s">
        <v>134</v>
      </c>
      <c r="C114" s="91" t="s">
        <v>528</v>
      </c>
      <c r="D114" s="92" t="s">
        <v>529</v>
      </c>
      <c r="G114" t="s">
        <v>476</v>
      </c>
    </row>
    <row r="115" spans="1:7" x14ac:dyDescent="0.25">
      <c r="A115">
        <v>114</v>
      </c>
      <c r="B115" t="s">
        <v>134</v>
      </c>
      <c r="C115" s="91" t="s">
        <v>530</v>
      </c>
      <c r="D115" s="92" t="s">
        <v>416</v>
      </c>
    </row>
    <row r="116" spans="1:7" x14ac:dyDescent="0.25">
      <c r="A116">
        <v>115</v>
      </c>
      <c r="B116" t="s">
        <v>134</v>
      </c>
      <c r="C116" s="91" t="s">
        <v>531</v>
      </c>
      <c r="D116" s="92" t="s">
        <v>416</v>
      </c>
    </row>
    <row r="117" spans="1:7" x14ac:dyDescent="0.25">
      <c r="A117">
        <v>116</v>
      </c>
      <c r="B117" t="s">
        <v>134</v>
      </c>
      <c r="C117" s="91" t="s">
        <v>532</v>
      </c>
      <c r="D117" s="92" t="s">
        <v>533</v>
      </c>
    </row>
    <row r="118" spans="1:7" x14ac:dyDescent="0.25">
      <c r="A118">
        <v>117</v>
      </c>
      <c r="B118" t="s">
        <v>134</v>
      </c>
      <c r="C118" s="91" t="s">
        <v>534</v>
      </c>
      <c r="D118" s="92" t="s">
        <v>533</v>
      </c>
    </row>
    <row r="119" spans="1:7" x14ac:dyDescent="0.25">
      <c r="A119">
        <v>118</v>
      </c>
      <c r="B119" t="s">
        <v>134</v>
      </c>
      <c r="C119" s="91" t="s">
        <v>535</v>
      </c>
      <c r="D119" s="92" t="s">
        <v>421</v>
      </c>
    </row>
    <row r="120" spans="1:7" x14ac:dyDescent="0.25">
      <c r="A120">
        <v>119</v>
      </c>
      <c r="B120" t="s">
        <v>134</v>
      </c>
      <c r="C120" s="91" t="s">
        <v>536</v>
      </c>
      <c r="D120" s="92" t="s">
        <v>421</v>
      </c>
    </row>
    <row r="121" spans="1:7" x14ac:dyDescent="0.25">
      <c r="A121">
        <v>120</v>
      </c>
      <c r="B121" t="s">
        <v>134</v>
      </c>
      <c r="C121" s="91" t="s">
        <v>537</v>
      </c>
      <c r="D121" s="92" t="s">
        <v>421</v>
      </c>
    </row>
    <row r="122" spans="1:7" x14ac:dyDescent="0.25">
      <c r="A122">
        <v>121</v>
      </c>
      <c r="B122" t="s">
        <v>134</v>
      </c>
      <c r="C122" s="91" t="s">
        <v>538</v>
      </c>
      <c r="D122" s="92" t="s">
        <v>421</v>
      </c>
    </row>
    <row r="123" spans="1:7" x14ac:dyDescent="0.25">
      <c r="A123">
        <v>122</v>
      </c>
      <c r="B123" t="s">
        <v>134</v>
      </c>
      <c r="C123" s="91" t="s">
        <v>539</v>
      </c>
      <c r="D123" s="92" t="s">
        <v>421</v>
      </c>
    </row>
    <row r="124" spans="1:7" x14ac:dyDescent="0.25">
      <c r="A124">
        <v>123</v>
      </c>
      <c r="B124" t="s">
        <v>134</v>
      </c>
      <c r="C124" s="91" t="s">
        <v>540</v>
      </c>
      <c r="D124" s="92" t="s">
        <v>421</v>
      </c>
    </row>
    <row r="125" spans="1:7" x14ac:dyDescent="0.25">
      <c r="A125">
        <v>124</v>
      </c>
      <c r="B125" t="s">
        <v>134</v>
      </c>
      <c r="C125" s="93" t="s">
        <v>541</v>
      </c>
      <c r="D125" s="92" t="s">
        <v>387</v>
      </c>
    </row>
    <row r="126" spans="1:7" x14ac:dyDescent="0.25">
      <c r="A126">
        <v>125</v>
      </c>
      <c r="B126" t="s">
        <v>134</v>
      </c>
      <c r="C126" s="93" t="s">
        <v>542</v>
      </c>
      <c r="D126" s="92" t="s">
        <v>387</v>
      </c>
    </row>
    <row r="127" spans="1:7" x14ac:dyDescent="0.25">
      <c r="A127">
        <v>126</v>
      </c>
      <c r="B127" t="s">
        <v>134</v>
      </c>
      <c r="C127" s="93" t="s">
        <v>543</v>
      </c>
      <c r="D127" s="92" t="s">
        <v>387</v>
      </c>
    </row>
    <row r="128" spans="1:7" x14ac:dyDescent="0.25">
      <c r="A128">
        <v>127</v>
      </c>
      <c r="B128" t="s">
        <v>134</v>
      </c>
      <c r="C128" s="93" t="s">
        <v>544</v>
      </c>
      <c r="D128" s="92" t="s">
        <v>387</v>
      </c>
    </row>
    <row r="129" spans="1:8" x14ac:dyDescent="0.25">
      <c r="A129">
        <v>128</v>
      </c>
      <c r="B129" t="s">
        <v>134</v>
      </c>
      <c r="C129" s="94" t="s">
        <v>545</v>
      </c>
      <c r="D129" s="92" t="s">
        <v>387</v>
      </c>
      <c r="H129" t="s">
        <v>94</v>
      </c>
    </row>
    <row r="130" spans="1:8" x14ac:dyDescent="0.25">
      <c r="A130">
        <v>129</v>
      </c>
      <c r="B130" t="s">
        <v>135</v>
      </c>
      <c r="C130" s="91" t="s">
        <v>546</v>
      </c>
      <c r="D130" s="92" t="s">
        <v>547</v>
      </c>
    </row>
    <row r="131" spans="1:8" x14ac:dyDescent="0.25">
      <c r="A131">
        <v>130</v>
      </c>
      <c r="B131" t="s">
        <v>135</v>
      </c>
      <c r="C131" s="93" t="s">
        <v>548</v>
      </c>
      <c r="D131" s="92" t="s">
        <v>547</v>
      </c>
    </row>
    <row r="132" spans="1:8" x14ac:dyDescent="0.25">
      <c r="A132">
        <v>131</v>
      </c>
      <c r="B132" t="s">
        <v>135</v>
      </c>
      <c r="C132" s="93" t="s">
        <v>549</v>
      </c>
      <c r="D132" s="92" t="s">
        <v>547</v>
      </c>
    </row>
    <row r="133" spans="1:8" x14ac:dyDescent="0.25">
      <c r="A133">
        <v>132</v>
      </c>
      <c r="B133" t="s">
        <v>135</v>
      </c>
      <c r="C133" s="93" t="s">
        <v>550</v>
      </c>
      <c r="D133" s="92" t="s">
        <v>547</v>
      </c>
    </row>
    <row r="134" spans="1:8" x14ac:dyDescent="0.25">
      <c r="A134">
        <v>133</v>
      </c>
      <c r="B134" t="s">
        <v>135</v>
      </c>
      <c r="C134" s="93" t="s">
        <v>551</v>
      </c>
      <c r="D134" s="92" t="s">
        <v>552</v>
      </c>
    </row>
    <row r="135" spans="1:8" x14ac:dyDescent="0.25">
      <c r="A135">
        <v>134</v>
      </c>
      <c r="B135" t="s">
        <v>135</v>
      </c>
      <c r="C135" s="93" t="s">
        <v>550</v>
      </c>
      <c r="D135" s="92" t="s">
        <v>552</v>
      </c>
    </row>
    <row r="136" spans="1:8" x14ac:dyDescent="0.25">
      <c r="A136">
        <v>135</v>
      </c>
      <c r="B136" t="s">
        <v>135</v>
      </c>
      <c r="C136" s="91" t="s">
        <v>553</v>
      </c>
      <c r="D136" s="92" t="s">
        <v>554</v>
      </c>
    </row>
    <row r="137" spans="1:8" x14ac:dyDescent="0.25">
      <c r="A137">
        <v>136</v>
      </c>
      <c r="B137" t="s">
        <v>135</v>
      </c>
      <c r="C137" s="91" t="s">
        <v>555</v>
      </c>
      <c r="D137" s="92" t="s">
        <v>554</v>
      </c>
    </row>
    <row r="138" spans="1:8" x14ac:dyDescent="0.25">
      <c r="A138">
        <v>137</v>
      </c>
      <c r="B138" t="s">
        <v>135</v>
      </c>
      <c r="C138" s="91" t="s">
        <v>556</v>
      </c>
      <c r="D138" s="92" t="s">
        <v>554</v>
      </c>
    </row>
    <row r="139" spans="1:8" x14ac:dyDescent="0.25">
      <c r="A139">
        <v>138</v>
      </c>
      <c r="B139" t="s">
        <v>135</v>
      </c>
      <c r="C139" s="93" t="s">
        <v>557</v>
      </c>
    </row>
    <row r="140" spans="1:8" x14ac:dyDescent="0.25">
      <c r="A140">
        <v>139</v>
      </c>
      <c r="B140" t="s">
        <v>135</v>
      </c>
      <c r="C140" s="93" t="s">
        <v>558</v>
      </c>
    </row>
    <row r="141" spans="1:8" x14ac:dyDescent="0.25">
      <c r="A141">
        <v>140</v>
      </c>
      <c r="B141" t="s">
        <v>135</v>
      </c>
      <c r="C141" s="93" t="s">
        <v>559</v>
      </c>
    </row>
    <row r="142" spans="1:8" x14ac:dyDescent="0.25">
      <c r="A142">
        <v>141</v>
      </c>
      <c r="B142" t="s">
        <v>135</v>
      </c>
      <c r="C142" s="91" t="s">
        <v>560</v>
      </c>
    </row>
    <row r="143" spans="1:8" x14ac:dyDescent="0.25">
      <c r="A143">
        <v>142</v>
      </c>
      <c r="B143" t="s">
        <v>135</v>
      </c>
      <c r="C143" s="93" t="s">
        <v>561</v>
      </c>
    </row>
    <row r="144" spans="1:8" x14ac:dyDescent="0.25">
      <c r="A144">
        <v>143</v>
      </c>
      <c r="B144" t="s">
        <v>135</v>
      </c>
      <c r="C144" s="93" t="s">
        <v>562</v>
      </c>
    </row>
    <row r="145" spans="1:3" x14ac:dyDescent="0.25">
      <c r="A145">
        <v>144</v>
      </c>
      <c r="B145" t="s">
        <v>135</v>
      </c>
      <c r="C145" s="94" t="s">
        <v>563</v>
      </c>
    </row>
    <row r="146" spans="1:3" x14ac:dyDescent="0.25">
      <c r="A146">
        <v>145</v>
      </c>
      <c r="B146" t="s">
        <v>135</v>
      </c>
      <c r="C146" s="93" t="s">
        <v>564</v>
      </c>
    </row>
    <row r="147" spans="1:3" x14ac:dyDescent="0.25">
      <c r="A147">
        <v>146</v>
      </c>
      <c r="B147" t="s">
        <v>135</v>
      </c>
      <c r="C147" s="93" t="s">
        <v>565</v>
      </c>
    </row>
    <row r="148" spans="1:3" x14ac:dyDescent="0.25">
      <c r="A148">
        <v>147</v>
      </c>
      <c r="B148" t="s">
        <v>135</v>
      </c>
      <c r="C148" s="91" t="s">
        <v>566</v>
      </c>
    </row>
  </sheetData>
  <autoFilter ref="A1:I1" xr:uid="{2B28C57B-7600-4644-A2CD-96168AE7A490}"/>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21D15A1AF66484F8E0D0B11E42BE5AF" ma:contentTypeVersion="4" ma:contentTypeDescription="Create a new document." ma:contentTypeScope="" ma:versionID="338d03310f83dae03a3c61af64ea4c46">
  <xsd:schema xmlns:xsd="http://www.w3.org/2001/XMLSchema" xmlns:xs="http://www.w3.org/2001/XMLSchema" xmlns:p="http://schemas.microsoft.com/office/2006/metadata/properties" xmlns:ns3="e9be8eca-2291-41ad-9cd3-291ef0e97563" targetNamespace="http://schemas.microsoft.com/office/2006/metadata/properties" ma:root="true" ma:fieldsID="4af26871acd75e80516fc08388298729" ns3:_="">
    <xsd:import namespace="e9be8eca-2291-41ad-9cd3-291ef0e97563"/>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be8eca-2291-41ad-9cd3-291ef0e975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D7C6660-4680-4B7C-BFF9-529417FB2ECE}">
  <ds:schemaRefs>
    <ds:schemaRef ds:uri="http://purl.org/dc/dcmitype/"/>
    <ds:schemaRef ds:uri="http://schemas.openxmlformats.org/package/2006/metadata/core-properties"/>
    <ds:schemaRef ds:uri="http://schemas.microsoft.com/office/2006/documentManagement/types"/>
    <ds:schemaRef ds:uri="http://www.w3.org/XML/1998/namespace"/>
    <ds:schemaRef ds:uri="http://schemas.microsoft.com/office/infopath/2007/PartnerControls"/>
    <ds:schemaRef ds:uri="http://purl.org/dc/elements/1.1/"/>
    <ds:schemaRef ds:uri="e9be8eca-2291-41ad-9cd3-291ef0e97563"/>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5FF40849-613B-4D53-B4C6-A0D1AC2FDE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be8eca-2291-41ad-9cd3-291ef0e975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6A97A5-8BE4-4E9C-BAB2-E668F1DB3431}">
  <ds:schemaRefs>
    <ds:schemaRef ds:uri="http://schemas.microsoft.com/sharepoint/v3/contenttype/forms"/>
  </ds:schemaRefs>
</ds:datastoreItem>
</file>

<file path=docMetadata/LabelInfo.xml><?xml version="1.0" encoding="utf-8"?>
<clbl:labelList xmlns:clbl="http://schemas.microsoft.com/office/2020/mipLabelMetadata">
  <clbl:label id="{deff24bb-2089-4400-8c8e-f71e680378b2}" enabled="0" method="" siteId="{deff24bb-2089-4400-8c8e-f71e680378b2}"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Control de versiones</vt:lpstr>
      <vt:lpstr>Leyenda</vt:lpstr>
      <vt:lpstr>Listas</vt:lpstr>
      <vt:lpstr>Evaluación de riesgos</vt:lpstr>
      <vt:lpstr>Evaluación de riesgos totales</vt:lpstr>
      <vt:lpstr>Graficas</vt:lpstr>
      <vt:lpstr>Requerimientos</vt:lpstr>
    </vt:vector>
  </TitlesOfParts>
  <Manager/>
  <Company>KPMG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amancenido@kpmg.es</dc:creator>
  <cp:keywords/>
  <dc:description/>
  <cp:lastModifiedBy>Zaldo Fornies, Victor</cp:lastModifiedBy>
  <cp:revision/>
  <dcterms:created xsi:type="dcterms:W3CDTF">2020-03-25T15:43:23Z</dcterms:created>
  <dcterms:modified xsi:type="dcterms:W3CDTF">2023-11-21T10:59:10Z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0x010100821D15A1AF66484F8E0D0B11E42BE5AF</vt:lpwstr>
  </property>
</Properties>
</file>